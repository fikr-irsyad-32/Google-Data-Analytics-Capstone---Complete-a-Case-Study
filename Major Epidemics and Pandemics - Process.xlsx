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1. Comprehensive\2. Coursera (Google Data Analytics Professional Certificate)\8. Google Data Analytics Capstone - Complete a Case Study\"/>
    </mc:Choice>
  </mc:AlternateContent>
  <xr:revisionPtr revIDLastSave="0" documentId="13_ncr:1_{13775381-7FF9-4D69-928A-D9872B6C9CED}" xr6:coauthVersionLast="47" xr6:coauthVersionMax="47" xr10:uidLastSave="{00000000-0000-0000-0000-000000000000}"/>
  <bookViews>
    <workbookView xWindow="20" yWindow="20" windowWidth="19180" windowHeight="11260" xr2:uid="{3665D91D-019A-4B13-B443-2B922175CA20}"/>
  </bookViews>
  <sheets>
    <sheet name="Cronical Table" sheetId="2" r:id="rId1"/>
  </sheets>
  <definedNames>
    <definedName name="_xlnm._FilterDatabase" localSheetId="0" hidden="1">'Cronical Table'!$A$1:$F$219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2" l="1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9" i="2"/>
  <c r="D4" i="2"/>
  <c r="D5" i="2"/>
  <c r="D6" i="2"/>
  <c r="D7" i="2"/>
  <c r="D8" i="2"/>
  <c r="D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73FD7A-925A-48EF-9847-AC6559615C79}" keepAlive="1" name="Query - Chronological Table of Epidemic and Pandemic Events in human History" description="Connection to the 'Chronological Table of Epidemic and Pandemic Events in human History' query in the workbook." type="5" refreshedVersion="8" background="1" saveData="1">
    <dbPr connection="Provider=Microsoft.Mashup.OleDb.1;Data Source=$Workbook$;Location=&quot;Chronological Table of Epidemic and Pandemic Events in human History&quot;;Extended Properties=&quot;&quot;" command="SELECT * FROM [Chronological Table of Epidemic and Pandemic Events in human History]"/>
  </connection>
  <connection id="2" xr16:uid="{84237D4F-7766-487D-9B2F-A7B228155653}" keepAlive="1" name="Query - Major Epidemics and Pandemics" description="Connection to the 'Major Epidemics and Pandemics' query in the workbook." type="5" refreshedVersion="8" background="1" saveData="1">
    <dbPr connection="Provider=Microsoft.Mashup.OleDb.1;Data Source=$Workbook$;Location=&quot;Major Epidemics and Pandemics&quot;;Extended Properties=&quot;&quot;" command="SELECT * FROM [Major Epidemics and Pandemics]"/>
  </connection>
</connections>
</file>

<file path=xl/sharedStrings.xml><?xml version="1.0" encoding="utf-8"?>
<sst xmlns="http://schemas.openxmlformats.org/spreadsheetml/2006/main" count="660" uniqueCount="550">
  <si>
    <t>Event</t>
  </si>
  <si>
    <t>Date</t>
  </si>
  <si>
    <t>Location</t>
  </si>
  <si>
    <t>Death toll (estimate)</t>
  </si>
  <si>
    <t>Plague of Athens</t>
  </si>
  <si>
    <t>430–426 BC</t>
  </si>
  <si>
    <t>Greece, Libya, Egypt, Ethiopia</t>
  </si>
  <si>
    <t>Antonine Plague</t>
  </si>
  <si>
    <t>Roman Empire</t>
  </si>
  <si>
    <t>Plague of Cyprian</t>
  </si>
  <si>
    <t>249–262</t>
  </si>
  <si>
    <t>Europe</t>
  </si>
  <si>
    <t>Plague of Justinian (beginning of first plague pandemic)</t>
  </si>
  <si>
    <t>541–549</t>
  </si>
  <si>
    <t>Europe and West Asia</t>
  </si>
  <si>
    <t>Plague of Sheroe (part of First plague pandemic)</t>
  </si>
  <si>
    <t>627–628</t>
  </si>
  <si>
    <t>Bilad al-Sham</t>
  </si>
  <si>
    <t>Plague of Amwas (part of first plague pandemic)</t>
  </si>
  <si>
    <t>638–639</t>
  </si>
  <si>
    <t>Byzantine Empire, West Asia, Africa</t>
  </si>
  <si>
    <t>735–737 Japanese smallpox epidemic</t>
  </si>
  <si>
    <t>735–737</t>
  </si>
  <si>
    <t>Japan</t>
  </si>
  <si>
    <t>Black Death (start of the second plague pandemic)</t>
  </si>
  <si>
    <t>1346–1353</t>
  </si>
  <si>
    <t>Eurasia and North Africa</t>
  </si>
  <si>
    <t>Sweating sickness (multiple outbreaks)</t>
  </si>
  <si>
    <t>1485–1551</t>
  </si>
  <si>
    <t>Britain (England) and later continental Europe</t>
  </si>
  <si>
    <t>1489 Spain typhus epidemic</t>
  </si>
  <si>
    <t>1489</t>
  </si>
  <si>
    <t>Spain</t>
  </si>
  <si>
    <t>1520 Mexico smallpox epidemic</t>
  </si>
  <si>
    <t>1519–1520</t>
  </si>
  <si>
    <t>Mexico</t>
  </si>
  <si>
    <t>Cocoliztli epidemic of 1545–1548</t>
  </si>
  <si>
    <t>1545–1548</t>
  </si>
  <si>
    <t>1563 London plague (part of the second plague pandemic)</t>
  </si>
  <si>
    <t>1563–1564</t>
  </si>
  <si>
    <t>London, England</t>
  </si>
  <si>
    <t>Cocoliztli epidemic of 1576</t>
  </si>
  <si>
    <t>1576–1580</t>
  </si>
  <si>
    <t>1582 Tenerife plague epidemic (part of the second plague pandemic)</t>
  </si>
  <si>
    <t>1582–1583</t>
  </si>
  <si>
    <t>Tenerife, Spain</t>
  </si>
  <si>
    <t>1592–1593 Malta plague epidemic (part of the second plague pandemic)</t>
  </si>
  <si>
    <t>1592–1593</t>
  </si>
  <si>
    <t>Malta</t>
  </si>
  <si>
    <t>1592–1593 London plague (part of the second plague pandemic)</t>
  </si>
  <si>
    <t>1596–1602 Spain plague epidemic (part of the second plague pandemic)</t>
  </si>
  <si>
    <t>1596–1602</t>
  </si>
  <si>
    <t>1603 London plague epidemic (part of the second plague pandemic)</t>
  </si>
  <si>
    <t>1603</t>
  </si>
  <si>
    <t>1629–1631 Italian plague (part of the second plague pandemic)</t>
  </si>
  <si>
    <t>1629–1631</t>
  </si>
  <si>
    <t>Italy</t>
  </si>
  <si>
    <t>1632–1635 Augsburg plague epidemic (part of the second plague pandemic)</t>
  </si>
  <si>
    <t>1632–1635</t>
  </si>
  <si>
    <t>Augsburg, Germany</t>
  </si>
  <si>
    <t>Massachusetts smallpox epidemic</t>
  </si>
  <si>
    <t>1633–1634</t>
  </si>
  <si>
    <t>Massachusetts Bay Colony, Thirteen Colonies</t>
  </si>
  <si>
    <t>1634–1640 Wyandot people epidemic</t>
  </si>
  <si>
    <t>1634–1640</t>
  </si>
  <si>
    <t>Wyandot people, North America</t>
  </si>
  <si>
    <t>1637 London plague epidemic (part of the second plague pandemic)</t>
  </si>
  <si>
    <t>1636–1637</t>
  </si>
  <si>
    <t>London and Westminster, England</t>
  </si>
  <si>
    <t>Great Plague in the late Ming dynasty (part of the second plague pandemic)</t>
  </si>
  <si>
    <t>1633–1644</t>
  </si>
  <si>
    <t>China</t>
  </si>
  <si>
    <t>Great Plague of Seville (part of the second plague pandemic)</t>
  </si>
  <si>
    <t>1647–1652</t>
  </si>
  <si>
    <t>Central America</t>
  </si>
  <si>
    <t>Naples Plague (part of the second plague pandemic)</t>
  </si>
  <si>
    <t>1656–1658</t>
  </si>
  <si>
    <t>1663–1664 Amsterdam plague epidemic (part of the second plague pandemic)</t>
  </si>
  <si>
    <t>1663–1664</t>
  </si>
  <si>
    <t>Amsterdam, Netherlands</t>
  </si>
  <si>
    <t>Great Plague of London (part of the second plague pandemic)</t>
  </si>
  <si>
    <t>1665–1666</t>
  </si>
  <si>
    <t>England</t>
  </si>
  <si>
    <t>1668 France plague (part of the second plague pandemic)</t>
  </si>
  <si>
    <t>1668</t>
  </si>
  <si>
    <t>France</t>
  </si>
  <si>
    <t>1675–1676 Malta plague epidemic (part of the second plague pandemic)</t>
  </si>
  <si>
    <t>1675–1676</t>
  </si>
  <si>
    <t>1677–1678 Boston smallpox epidemic</t>
  </si>
  <si>
    <t>1677–1678</t>
  </si>
  <si>
    <t>Massachusetts Bay Colony, British North America</t>
  </si>
  <si>
    <t>Great Plague of Vienna (part of the second plague pandemic)</t>
  </si>
  <si>
    <t>1679</t>
  </si>
  <si>
    <t>Vienna, Austria</t>
  </si>
  <si>
    <t>1681 Prague plague epidemic (part of the second plague pandemic)</t>
  </si>
  <si>
    <t>1681</t>
  </si>
  <si>
    <t>Prague, Czech Kingdom</t>
  </si>
  <si>
    <t>South Africa</t>
  </si>
  <si>
    <t>1693 Boston yellow fever epidemic</t>
  </si>
  <si>
    <t>1693</t>
  </si>
  <si>
    <t>Boston, Massachusetts Bay Colony, British North America</t>
  </si>
  <si>
    <t>1699 Charleston and Philadelphia yellow fever epidemic</t>
  </si>
  <si>
    <t>1699</t>
  </si>
  <si>
    <t>Charleston and Philadelphia, British North America</t>
  </si>
  <si>
    <t>1702 New York City yellow fever epidemic</t>
  </si>
  <si>
    <t>1702</t>
  </si>
  <si>
    <t>New York City, British North America</t>
  </si>
  <si>
    <t>1702–1703 St. Lawrence Valley smallpox epidemic</t>
  </si>
  <si>
    <t>1702–1703</t>
  </si>
  <si>
    <t>New France, Canada</t>
  </si>
  <si>
    <t>1707–1709 Iceland smallpox epidemic</t>
  </si>
  <si>
    <t>1707–1709</t>
  </si>
  <si>
    <t>Iceland</t>
  </si>
  <si>
    <t>Great Northern War plague outbreak (part of the second plague pandemic)</t>
  </si>
  <si>
    <t>1710–1712</t>
  </si>
  <si>
    <t>Denmark, Sweden, Lithuania</t>
  </si>
  <si>
    <t>Great Plague of Marseille (part of the second plague pandemic)</t>
  </si>
  <si>
    <t>1720–1722</t>
  </si>
  <si>
    <t>1721 Boston smallpox outbreak</t>
  </si>
  <si>
    <t>1721–1722</t>
  </si>
  <si>
    <t>Massachusetts Bay Colony</t>
  </si>
  <si>
    <t>1730 Cádiz yellow fever epidemic</t>
  </si>
  <si>
    <t>1730</t>
  </si>
  <si>
    <t>Cádiz, Spain</t>
  </si>
  <si>
    <t>1735–1741 diphtheria epidemic</t>
  </si>
  <si>
    <t>1735–1741</t>
  </si>
  <si>
    <t>New England, Province of New York, Province of New Jersey, British North America</t>
  </si>
  <si>
    <t>Great Plague of 1738 (part of the second plague pandemic)</t>
  </si>
  <si>
    <t>1738</t>
  </si>
  <si>
    <t>Balkans</t>
  </si>
  <si>
    <t>1738–1739 North Carolina smallpox epidemic</t>
  </si>
  <si>
    <t>1738–1739</t>
  </si>
  <si>
    <t>Province of Carolina, Thirteen Colonies</t>
  </si>
  <si>
    <t>1741 Cartagena yellow fever epidemic</t>
  </si>
  <si>
    <t>1741</t>
  </si>
  <si>
    <t>Cartagena, Colombia</t>
  </si>
  <si>
    <t>1743 Sicily plague epidemic (part of the second plague pandemic)</t>
  </si>
  <si>
    <t>1743</t>
  </si>
  <si>
    <t>Messina, Sicily, Italy</t>
  </si>
  <si>
    <t>North America</t>
  </si>
  <si>
    <t>1760 Charleston smallpox epidemic</t>
  </si>
  <si>
    <t>1760</t>
  </si>
  <si>
    <t>Charleston, British North America</t>
  </si>
  <si>
    <t>1762 Havana yellow fever epidemic</t>
  </si>
  <si>
    <t>1762</t>
  </si>
  <si>
    <t>Havana, Cuba</t>
  </si>
  <si>
    <t>1770–1772 Russian plague (part of the second plague pandemic)</t>
  </si>
  <si>
    <t>1770–1772</t>
  </si>
  <si>
    <t>Russia</t>
  </si>
  <si>
    <t>1772 North America measles epidemic</t>
  </si>
  <si>
    <t>1772</t>
  </si>
  <si>
    <t>1772–1773 Persian Plague (part of the second plague pandemic)</t>
  </si>
  <si>
    <t>1772–1773</t>
  </si>
  <si>
    <t>Persia</t>
  </si>
  <si>
    <t>1775–1782 North American smallpox epidemic</t>
  </si>
  <si>
    <t>1775–1782</t>
  </si>
  <si>
    <t>Native populations in what is now the Pacific Northwest of the United States</t>
  </si>
  <si>
    <t>New South Wales, Australia</t>
  </si>
  <si>
    <t>1793 Philadelphia yellow fever epidemic</t>
  </si>
  <si>
    <t>1793</t>
  </si>
  <si>
    <t>Philadelphia, United States</t>
  </si>
  <si>
    <t>1800–1803 Spain yellow fever epidemic</t>
  </si>
  <si>
    <t>1800–1803</t>
  </si>
  <si>
    <t>1802–1803 Saint-Domingue yellow fever epidemic</t>
  </si>
  <si>
    <t>1802–1803</t>
  </si>
  <si>
    <t>Saint-Domingue</t>
  </si>
  <si>
    <t>1812 Russia typhus epidemic</t>
  </si>
  <si>
    <t>1812</t>
  </si>
  <si>
    <t>1812–1819 Ottoman plague epidemic (part of the second plague pandemic)</t>
  </si>
  <si>
    <t>1812–1819</t>
  </si>
  <si>
    <t>Ottoman Empire</t>
  </si>
  <si>
    <t>1813–1814 Malta plague epidemic (part of the second plague pandemic)</t>
  </si>
  <si>
    <t>1813–1814</t>
  </si>
  <si>
    <t>Caragea's plague (part of the second plague pandemic)</t>
  </si>
  <si>
    <t>1813</t>
  </si>
  <si>
    <t>Romania</t>
  </si>
  <si>
    <t>1817–1819 Ireland typhus epidemic</t>
  </si>
  <si>
    <t>1817–1819</t>
  </si>
  <si>
    <t>Ireland</t>
  </si>
  <si>
    <t>First cholera pandemic</t>
  </si>
  <si>
    <t>1817–1824</t>
  </si>
  <si>
    <t>Asia, Europe</t>
  </si>
  <si>
    <t>1820 Savannah yellow fever epidemic</t>
  </si>
  <si>
    <t>1820</t>
  </si>
  <si>
    <t>Savannah, Georgia, United States</t>
  </si>
  <si>
    <t>1821 Barcelona yellow fever epidemic</t>
  </si>
  <si>
    <t>1821</t>
  </si>
  <si>
    <t>Barcelona, Spain</t>
  </si>
  <si>
    <t>Second cholera pandemic</t>
  </si>
  <si>
    <t>1826–1837</t>
  </si>
  <si>
    <t>Asia, Europe, North America</t>
  </si>
  <si>
    <t>1828–1829 New South Wales smallpox epidemic</t>
  </si>
  <si>
    <t>1828–1829</t>
  </si>
  <si>
    <t>Groningen epidemic</t>
  </si>
  <si>
    <t>1829</t>
  </si>
  <si>
    <t>Netherlands</t>
  </si>
  <si>
    <t>1829–1833 Pacific Northwest malaria epidemic</t>
  </si>
  <si>
    <t>1829–1833</t>
  </si>
  <si>
    <t>Pacific Northwest, United States</t>
  </si>
  <si>
    <t>Egypt</t>
  </si>
  <si>
    <t>1837 Great Plains smallpox epidemic</t>
  </si>
  <si>
    <t>1837–1838</t>
  </si>
  <si>
    <t>Great Plains, United States and Canada</t>
  </si>
  <si>
    <t>1841 Southern United States yellow fever epidemic</t>
  </si>
  <si>
    <t>1841</t>
  </si>
  <si>
    <t>Southern United States (especially Louisiana and Florida)</t>
  </si>
  <si>
    <t>1847 North American typhus epidemic</t>
  </si>
  <si>
    <t>1847–1848</t>
  </si>
  <si>
    <t>Canada</t>
  </si>
  <si>
    <t>1847 Southern United States yellow fever epidemic</t>
  </si>
  <si>
    <t>1847</t>
  </si>
  <si>
    <t>Southern United States (especially New Orleans)</t>
  </si>
  <si>
    <t>Worldwide</t>
  </si>
  <si>
    <t>1848–1849 Hawaii epidemic of infections</t>
  </si>
  <si>
    <t>1848–1849</t>
  </si>
  <si>
    <t>Hawaiian Kingdom</t>
  </si>
  <si>
    <t>1853 New Orleans yellow fever epidemic</t>
  </si>
  <si>
    <t>1853</t>
  </si>
  <si>
    <t>New Orleans, United States</t>
  </si>
  <si>
    <t>Third cholera pandemic</t>
  </si>
  <si>
    <t>1846–1860</t>
  </si>
  <si>
    <t>1853 Copenhagen cholera outbreak</t>
  </si>
  <si>
    <t>Copenhagen, Denmark</t>
  </si>
  <si>
    <t>1854 Broad Street cholera outbreak</t>
  </si>
  <si>
    <t>1854</t>
  </si>
  <si>
    <t>1855 Norfolk yellow fever epidemic</t>
  </si>
  <si>
    <t>1855</t>
  </si>
  <si>
    <t>Norfolk and Portsmouth, England</t>
  </si>
  <si>
    <t>Third plague pandemic</t>
  </si>
  <si>
    <t>1855–1960</t>
  </si>
  <si>
    <t>1855–1857 Montevideo yellow fever epidemic</t>
  </si>
  <si>
    <t>1855–1857</t>
  </si>
  <si>
    <t>Montevideo, Uruguay</t>
  </si>
  <si>
    <t>1857 Lisbon yellow fever epidemic</t>
  </si>
  <si>
    <t>1857</t>
  </si>
  <si>
    <t>Lisbon, Portugal</t>
  </si>
  <si>
    <t>1862 Pacific Northwest smallpox epidemic</t>
  </si>
  <si>
    <t>1862–1863</t>
  </si>
  <si>
    <t>Pacific Northwest, Canada and United States</t>
  </si>
  <si>
    <t>1861–1865 United States typhoid fever epidemic</t>
  </si>
  <si>
    <t>1861–1865</t>
  </si>
  <si>
    <t>United States</t>
  </si>
  <si>
    <t>Fourth cholera pandemic</t>
  </si>
  <si>
    <t>1863–1875</t>
  </si>
  <si>
    <t>Middle East</t>
  </si>
  <si>
    <t>1867 Sydney measles epidemic</t>
  </si>
  <si>
    <t>1867</t>
  </si>
  <si>
    <t>Sydney, Australia</t>
  </si>
  <si>
    <t>1871 Buenos Aires yellow fever epidemic</t>
  </si>
  <si>
    <t>1871</t>
  </si>
  <si>
    <t>Buenos Aires, Argentina</t>
  </si>
  <si>
    <t>1870–1875 Europe smallpox epidemic</t>
  </si>
  <si>
    <t>1870–1875</t>
  </si>
  <si>
    <t>1875 Fiji measles outbreak</t>
  </si>
  <si>
    <t>1875</t>
  </si>
  <si>
    <t>Fiji</t>
  </si>
  <si>
    <t>1875–1876 Australia scarlet fever epidemic</t>
  </si>
  <si>
    <t>1875–1876</t>
  </si>
  <si>
    <t>Australia</t>
  </si>
  <si>
    <t>1876 Ottoman Empire plague epidemic</t>
  </si>
  <si>
    <t>1876</t>
  </si>
  <si>
    <t>1878 New Orleans yellow fever epidemic</t>
  </si>
  <si>
    <t>1878</t>
  </si>
  <si>
    <t>1878 Mississippi Valley yellow fever epidemic</t>
  </si>
  <si>
    <t>Mississippi Valley, United States</t>
  </si>
  <si>
    <t>Fifth cholera pandemic</t>
  </si>
  <si>
    <t>1881–1896</t>
  </si>
  <si>
    <t>Asia, Africa, Europe, South America</t>
  </si>
  <si>
    <t>1885 Montreal smallpox epidemic</t>
  </si>
  <si>
    <t>1885</t>
  </si>
  <si>
    <t>Montreal, Canada</t>
  </si>
  <si>
    <t>1889–1890 pandemic</t>
  </si>
  <si>
    <t>1889–1890</t>
  </si>
  <si>
    <t>1894 Hong Kong plague (part of the third plague pandemic)</t>
  </si>
  <si>
    <t>1894–1929</t>
  </si>
  <si>
    <t>Hong Kong</t>
  </si>
  <si>
    <t>Bombay plague epidemic (part of the third plague pandemic)</t>
  </si>
  <si>
    <t>1896–1905</t>
  </si>
  <si>
    <t>Bombay, India</t>
  </si>
  <si>
    <t>1896–1906 Congo Basin African trypanosomiasis epidemic</t>
  </si>
  <si>
    <t>1896–1906</t>
  </si>
  <si>
    <t>Congo Basin</t>
  </si>
  <si>
    <t>1899 Porto plague outbreak (part of the third plague pandemic)</t>
  </si>
  <si>
    <t>1899</t>
  </si>
  <si>
    <t>Porto, Portugal</t>
  </si>
  <si>
    <t>Sixth cholera pandemic</t>
  </si>
  <si>
    <t>1899–1923</t>
  </si>
  <si>
    <t>Europe, Asia, Africa</t>
  </si>
  <si>
    <t>San Francisco plague of 1900–1904 (part of the third plague pandemic)</t>
  </si>
  <si>
    <t>1900–1904</t>
  </si>
  <si>
    <t>San Francisco, United States</t>
  </si>
  <si>
    <t>1900 Sydney bubonic plague epidemic (part of the third plague pandemic)</t>
  </si>
  <si>
    <t>1900</t>
  </si>
  <si>
    <t>1900–1920 Uganda African trypanosomiasis epidemic</t>
  </si>
  <si>
    <t>1900–1920</t>
  </si>
  <si>
    <t>Uganda</t>
  </si>
  <si>
    <t>Papua New Guinea kuru epidemic</t>
  </si>
  <si>
    <t>1901–2009</t>
  </si>
  <si>
    <t>Papua New Guinea</t>
  </si>
  <si>
    <t>1903 Fremantle plague epidemic (part of the third plague pandemic)</t>
  </si>
  <si>
    <t>1903</t>
  </si>
  <si>
    <t>Fremantle, Western Australia</t>
  </si>
  <si>
    <t>1906 malaria outbreak in Ceylon</t>
  </si>
  <si>
    <t>1906–1936</t>
  </si>
  <si>
    <t>Ceylon</t>
  </si>
  <si>
    <t>Manchurian plague (part of the third plague pandemic)</t>
  </si>
  <si>
    <t>1910–1911</t>
  </si>
  <si>
    <t>1915 encephalitis lethargica pandemic</t>
  </si>
  <si>
    <t>1915–1926</t>
  </si>
  <si>
    <t>1916 United States polio epidemic</t>
  </si>
  <si>
    <t>1916</t>
  </si>
  <si>
    <t>1918 influenza pandemic ('Spanish flu')</t>
  </si>
  <si>
    <t>1918–1920</t>
  </si>
  <si>
    <t>1918–1922 Russia typhus epidemic</t>
  </si>
  <si>
    <t>1918–1922</t>
  </si>
  <si>
    <t>1924 Los Angeles pneumonic plague outbreak</t>
  </si>
  <si>
    <t>1924</t>
  </si>
  <si>
    <t>Los Angeles, United States</t>
  </si>
  <si>
    <t>1924–1925 Minnesota smallpox epidemic</t>
  </si>
  <si>
    <t>1924–1925</t>
  </si>
  <si>
    <t>Minnesota, United States</t>
  </si>
  <si>
    <t>1927 Montreal typhoid fever epidemic</t>
  </si>
  <si>
    <t>1927</t>
  </si>
  <si>
    <t>1929–1930 psittacosis pandemic</t>
  </si>
  <si>
    <t>1929–1930</t>
  </si>
  <si>
    <t>Croydon typhoid outbreak of 1937</t>
  </si>
  <si>
    <t>1937</t>
  </si>
  <si>
    <t>Croydon, United Kingdom</t>
  </si>
  <si>
    <t>1940 Sudan yellow fever epidemic</t>
  </si>
  <si>
    <t>1940</t>
  </si>
  <si>
    <t>Sudan</t>
  </si>
  <si>
    <t>1947 Egypt cholera epidemic</t>
  </si>
  <si>
    <t>1947</t>
  </si>
  <si>
    <t>1948–1952 United States polio epidemic</t>
  </si>
  <si>
    <t>1948–1952</t>
  </si>
  <si>
    <t>1957–1958 influenza pandemic ('Asian flu')</t>
  </si>
  <si>
    <t>1957–1958</t>
  </si>
  <si>
    <t>1960–1962 Ethiopia yellow fever epidemic</t>
  </si>
  <si>
    <t>1960–1962</t>
  </si>
  <si>
    <t>Ethiopia</t>
  </si>
  <si>
    <t>Seventh cholera pandemic</t>
  </si>
  <si>
    <t>1961–1975</t>
  </si>
  <si>
    <t>Hong Kong flu</t>
  </si>
  <si>
    <t>1968–1970</t>
  </si>
  <si>
    <t>1971 Staphorst polio epidemic</t>
  </si>
  <si>
    <t>1971</t>
  </si>
  <si>
    <t>Staphorst, Netherlands</t>
  </si>
  <si>
    <t>1972 Yugoslav smallpox outbreak</t>
  </si>
  <si>
    <t>1972</t>
  </si>
  <si>
    <t>Yugoslavia</t>
  </si>
  <si>
    <t>London flu</t>
  </si>
  <si>
    <t>1972–1973</t>
  </si>
  <si>
    <t>1973 Italy cholera epidemic</t>
  </si>
  <si>
    <t>1973</t>
  </si>
  <si>
    <t>1974 smallpox epidemic in India</t>
  </si>
  <si>
    <t>1974</t>
  </si>
  <si>
    <t>India</t>
  </si>
  <si>
    <t>1977 Russian flu</t>
  </si>
  <si>
    <t>1977–1979</t>
  </si>
  <si>
    <t>Sverdlovsk anthrax leak</t>
  </si>
  <si>
    <t>1979</t>
  </si>
  <si>
    <t>HIV/AIDS pandemic</t>
  </si>
  <si>
    <t>1984 Western Sahara plague</t>
  </si>
  <si>
    <t>1984</t>
  </si>
  <si>
    <t>Western Sahara</t>
  </si>
  <si>
    <t>1986 Oju yellow fever epidemic</t>
  </si>
  <si>
    <t>1986</t>
  </si>
  <si>
    <t>Oju, Nigeria</t>
  </si>
  <si>
    <t>1987 Mali yellow fever epidemic</t>
  </si>
  <si>
    <t>1987</t>
  </si>
  <si>
    <t>Mali</t>
  </si>
  <si>
    <t>1988 Shanghai hepatitis A epidemic</t>
  </si>
  <si>
    <t>1988</t>
  </si>
  <si>
    <t>Shanghai, China</t>
  </si>
  <si>
    <t>1991 Bangladesh cholera epidemic</t>
  </si>
  <si>
    <t>1991</t>
  </si>
  <si>
    <t>Bangladesh</t>
  </si>
  <si>
    <t>1991 Latin America cholera epidemic</t>
  </si>
  <si>
    <t>1991–1993</t>
  </si>
  <si>
    <t>Peru, Chile, Bolivia, Ecuador, Colombia, Mexico, El Salvador, Guatemala</t>
  </si>
  <si>
    <t>1994 plague in India</t>
  </si>
  <si>
    <t>1994</t>
  </si>
  <si>
    <t>United Kingdom BSE outbreak</t>
  </si>
  <si>
    <t>1996–2001</t>
  </si>
  <si>
    <t>United Kingdom</t>
  </si>
  <si>
    <t>1996 West Africa meningitis epidemic</t>
  </si>
  <si>
    <t>1996</t>
  </si>
  <si>
    <t>West Africa</t>
  </si>
  <si>
    <t>1998–1999 Malaysia Nipah virus outbreak</t>
  </si>
  <si>
    <t>1998–1999</t>
  </si>
  <si>
    <t>Malaysia</t>
  </si>
  <si>
    <t>1998–2000 Democratic Republic of the Congo Marburg virus outbreak</t>
  </si>
  <si>
    <t>1998–2000</t>
  </si>
  <si>
    <t>Democratic Republic of the Congo</t>
  </si>
  <si>
    <t>2000 Central America dengue epidemic</t>
  </si>
  <si>
    <t>2000</t>
  </si>
  <si>
    <t>2001 Nigeria cholera epidemic</t>
  </si>
  <si>
    <t>2001</t>
  </si>
  <si>
    <t>Nigeria</t>
  </si>
  <si>
    <t>2001 South Africa cholera epidemic</t>
  </si>
  <si>
    <t>2002–2004 SARS outbreak</t>
  </si>
  <si>
    <t>2002–2004</t>
  </si>
  <si>
    <t>2003–2019 Asia and Egypt avian influenza epidemic</t>
  </si>
  <si>
    <t>2003–2019</t>
  </si>
  <si>
    <t>China, Southeast Asia and Egypt</t>
  </si>
  <si>
    <t>2004 Indonesia dengue epidemic</t>
  </si>
  <si>
    <t>2004</t>
  </si>
  <si>
    <t>Indonesia</t>
  </si>
  <si>
    <t>2004 Sudan Ebola outbreak</t>
  </si>
  <si>
    <t>2004–2005 Angola Marburg virus outbreak</t>
  </si>
  <si>
    <t>2004–2005</t>
  </si>
  <si>
    <t>Angola</t>
  </si>
  <si>
    <t>2005 dengue outbreak in Singapore</t>
  </si>
  <si>
    <t>2005</t>
  </si>
  <si>
    <t>Singapore</t>
  </si>
  <si>
    <t>2006 Luanda cholera epidemic</t>
  </si>
  <si>
    <t>2006</t>
  </si>
  <si>
    <t>Luanda, Angola</t>
  </si>
  <si>
    <t>2006 Ituri Province plague epidemic</t>
  </si>
  <si>
    <t>Ituri Province, Democratic Republic of the Congo</t>
  </si>
  <si>
    <t>2006 India malaria outbreak</t>
  </si>
  <si>
    <t>2006 dengue outbreak in India</t>
  </si>
  <si>
    <t>2006 dengue outbreak in Pakistan</t>
  </si>
  <si>
    <t>Pakistan</t>
  </si>
  <si>
    <t>2006 Philippines dengue epidemic</t>
  </si>
  <si>
    <t>Philippines</t>
  </si>
  <si>
    <t>2006–2007 East Africa Rift Valley fever outbreak</t>
  </si>
  <si>
    <t>2006–2007</t>
  </si>
  <si>
    <t>East Africa</t>
  </si>
  <si>
    <t>Mweka Ebola epidemic</t>
  </si>
  <si>
    <t>2007</t>
  </si>
  <si>
    <t>2007 Ethiopia cholera epidemic</t>
  </si>
  <si>
    <t>2007 Iraq cholera outbreak</t>
  </si>
  <si>
    <t>Iraq</t>
  </si>
  <si>
    <t>2007 Puerto Rico, Dominican Republic, and Mexico dengue fever epidemic</t>
  </si>
  <si>
    <t>Puerto Rico, Dominican Republic, Mexico</t>
  </si>
  <si>
    <t>2007 Uganda Ebola outbreak</t>
  </si>
  <si>
    <t>2007 Netherlands Q-fever epidemic</t>
  </si>
  <si>
    <t>2007–2018</t>
  </si>
  <si>
    <t>2008 Brazil dengue epidemic</t>
  </si>
  <si>
    <t>2008</t>
  </si>
  <si>
    <t>Brazil</t>
  </si>
  <si>
    <t>2008 Cambodia dengue epidemic</t>
  </si>
  <si>
    <t>Cambodia</t>
  </si>
  <si>
    <t>2008 Chad cholera epidemic</t>
  </si>
  <si>
    <t>Chad</t>
  </si>
  <si>
    <t>2008–2017 China hand, foot, and mouth disease epidemic</t>
  </si>
  <si>
    <t>2008–2017</t>
  </si>
  <si>
    <t>2008 India cholera epidemic</t>
  </si>
  <si>
    <t>2008 Madagascar plague outbreak</t>
  </si>
  <si>
    <t>Madagascar</t>
  </si>
  <si>
    <t>2008 Philippines dengue epidemic</t>
  </si>
  <si>
    <t>2008 Zimbabwean cholera outbreak</t>
  </si>
  <si>
    <t>2008–2009</t>
  </si>
  <si>
    <t>Zimbabwe</t>
  </si>
  <si>
    <t>2009 Bolivian dengue fever epidemic</t>
  </si>
  <si>
    <t>2009</t>
  </si>
  <si>
    <t>Bolivia</t>
  </si>
  <si>
    <t>2009 Gujarat hepatitis outbreak</t>
  </si>
  <si>
    <t>Queensland 2009 dengue outbreak</t>
  </si>
  <si>
    <t>Queensland, Australia</t>
  </si>
  <si>
    <t>2009–2010 West African meningitis outbreak</t>
  </si>
  <si>
    <t>2009–2010</t>
  </si>
  <si>
    <t>2009 swine flu pandemic</t>
  </si>
  <si>
    <t>2010s Haiti cholera outbreak</t>
  </si>
  <si>
    <t>2010–2019</t>
  </si>
  <si>
    <t>Haiti</t>
  </si>
  <si>
    <t>2010–2014 Democratic Republic of the Congo measles outbreak</t>
  </si>
  <si>
    <t>2010–2014</t>
  </si>
  <si>
    <t>2011 Vietnam hand, foot, and mouth disease epidemic</t>
  </si>
  <si>
    <t>2011</t>
  </si>
  <si>
    <t>Vietnam</t>
  </si>
  <si>
    <t>2011 dengue outbreak in Pakistan</t>
  </si>
  <si>
    <t>2012 yellow fever outbreak in Darfur, Sudan</t>
  </si>
  <si>
    <t>2012</t>
  </si>
  <si>
    <t>Darfur, Sudan</t>
  </si>
  <si>
    <t>2012 Middle East respiratory syndrome coronavirus outbreak</t>
  </si>
  <si>
    <t>2012–2021</t>
  </si>
  <si>
    <t>2013 dengue outbreak in Singapore</t>
  </si>
  <si>
    <t>2013</t>
  </si>
  <si>
    <t>2013 Vietnam measles outbreak</t>
  </si>
  <si>
    <t>2013–2014</t>
  </si>
  <si>
    <t>Western African Ebola virus epidemic</t>
  </si>
  <si>
    <t>2013–2016</t>
  </si>
  <si>
    <t>Worldwide, primarily concentrated in Guinea, Liberia, Sierra Leone</t>
  </si>
  <si>
    <t>2013–2014 chikungunya outbreak</t>
  </si>
  <si>
    <t>2013–2015</t>
  </si>
  <si>
    <t>Americas</t>
  </si>
  <si>
    <t>2013–19 avian influenza epidemic</t>
  </si>
  <si>
    <t>2013–2019</t>
  </si>
  <si>
    <t>21st century Madagascar plague outbreaks</t>
  </si>
  <si>
    <t>2014–2017</t>
  </si>
  <si>
    <t>Flint water crisis</t>
  </si>
  <si>
    <t>2014–2015</t>
  </si>
  <si>
    <t>Flint, Michigan, United States</t>
  </si>
  <si>
    <t>2014 Odisha hepatitis outbreak</t>
  </si>
  <si>
    <t>2015 Indian swine flu outbreak</t>
  </si>
  <si>
    <t>2015</t>
  </si>
  <si>
    <t>2015–16 Zika virus epidemic</t>
  </si>
  <si>
    <t>2015–2016</t>
  </si>
  <si>
    <t>2016 Angola and Democratic Republic of the Congo yellow fever outbreak</t>
  </si>
  <si>
    <t>2016</t>
  </si>
  <si>
    <t>Angola and Democratic Republic of the Congo</t>
  </si>
  <si>
    <t>2016–2022 Yemen cholera outbreak</t>
  </si>
  <si>
    <t>2016–2022</t>
  </si>
  <si>
    <t>Yemen</t>
  </si>
  <si>
    <t>2017 dengue outbreak in Peshawar</t>
  </si>
  <si>
    <t>2017</t>
  </si>
  <si>
    <t>Peshawar, Pakistan</t>
  </si>
  <si>
    <t>2017 Gorakhpur hospital deaths</t>
  </si>
  <si>
    <t>2017 dengue outbreak in Sri Lanka</t>
  </si>
  <si>
    <t>Sri Lanka</t>
  </si>
  <si>
    <t>2018 Nipah virus outbreak in Kerala</t>
  </si>
  <si>
    <t>2018</t>
  </si>
  <si>
    <t>Kivu Ebola epidemic</t>
  </si>
  <si>
    <t>2018–2020</t>
  </si>
  <si>
    <t>Democratic Republic of the Congo and Uganda</t>
  </si>
  <si>
    <t>2018 NDM-CRE outbreak in Italy</t>
  </si>
  <si>
    <t>2018–2019</t>
  </si>
  <si>
    <t>2019–2020 measles outbreak in the Democratic Republic of the Congo</t>
  </si>
  <si>
    <t>2019–2020</t>
  </si>
  <si>
    <t>2019–2020 New Zealand measles outbreak</t>
  </si>
  <si>
    <t>New Zealand</t>
  </si>
  <si>
    <t>2019 measles outbreak in the Philippines</t>
  </si>
  <si>
    <t>2019</t>
  </si>
  <si>
    <t>2019 Kuala Koh measles outbreak</t>
  </si>
  <si>
    <t>Kuala Koh, Malaysia</t>
  </si>
  <si>
    <t>2019 Samoa measles outbreak</t>
  </si>
  <si>
    <t>Samoa</t>
  </si>
  <si>
    <t>2019–2020 dengue fever epidemic</t>
  </si>
  <si>
    <t>Asia-Pacific, Latin America</t>
  </si>
  <si>
    <t>2019 Nigeria Lassa fever epidemic</t>
  </si>
  <si>
    <t>2019–2021</t>
  </si>
  <si>
    <t>COVID-19 pandemic</t>
  </si>
  <si>
    <t>2020 Democratic Republic of the Congo Ebola outbreak</t>
  </si>
  <si>
    <t>2020</t>
  </si>
  <si>
    <t>2020 dengue outbreak in Singapore</t>
  </si>
  <si>
    <t>2020 Nigeria yellow fever epidemic</t>
  </si>
  <si>
    <t>2021 India black fungus epidemic</t>
  </si>
  <si>
    <t>2021-2022</t>
  </si>
  <si>
    <t>2022 hepatitis of unknown origin in children</t>
  </si>
  <si>
    <t>2021–2022</t>
  </si>
  <si>
    <t>2022–2023 monkeypox outbreak</t>
  </si>
  <si>
    <t>2022 Uganda Ebola outbreak</t>
  </si>
  <si>
    <t>2022–2023</t>
  </si>
  <si>
    <t>No.</t>
  </si>
  <si>
    <t>165–180</t>
  </si>
  <si>
    <t>1981–2023</t>
  </si>
  <si>
    <t>2019–2023</t>
  </si>
  <si>
    <t>Duration (year)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</si>
</sst>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1" fontId="0" fillId="0" borderId="0" xfId="0" applyNumberFormat="1" applyAlignment="1">
      <alignment horizontal="right"/>
    </xf>
    <xf numFmtId="0" fontId="2" fillId="2" borderId="3" xfId="0" applyFont="1" applyFill="1" applyBorder="1"/>
    <xf numFmtId="0" fontId="2" fillId="2" borderId="4" xfId="0" applyFont="1" applyFill="1" applyBorder="1"/>
    <xf numFmtId="1" fontId="2" fillId="2" borderId="4" xfId="0" applyNumberFormat="1" applyFont="1" applyFill="1" applyBorder="1" applyAlignment="1">
      <alignment horizontal="center"/>
    </xf>
    <xf numFmtId="0" fontId="2" fillId="2" borderId="5" xfId="0" applyFont="1" applyFill="1" applyBorder="1"/>
    <xf numFmtId="0" fontId="0" fillId="3" borderId="3" xfId="0" applyFill="1" applyBorder="1"/>
    <xf numFmtId="0" fontId="0" fillId="3" borderId="4" xfId="0" applyFill="1" applyBorder="1"/>
    <xf numFmtId="1" fontId="0" fillId="3" borderId="4" xfId="0" applyNumberFormat="1" applyFill="1" applyBorder="1" applyAlignment="1">
      <alignment horizontal="right"/>
    </xf>
    <xf numFmtId="0" fontId="0" fillId="3" borderId="5" xfId="0" applyFill="1" applyBorder="1"/>
    <xf numFmtId="0" fontId="0" fillId="0" borderId="3" xfId="0" applyBorder="1"/>
    <xf numFmtId="0" fontId="0" fillId="0" borderId="4" xfId="0" applyBorder="1"/>
    <xf numFmtId="1" fontId="0" fillId="0" borderId="4" xfId="0" applyNumberFormat="1" applyBorder="1" applyAlignment="1">
      <alignment horizontal="right"/>
    </xf>
    <xf numFmtId="0" fontId="0" fillId="0" borderId="5" xfId="0" applyBorder="1"/>
    <xf numFmtId="1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24098-F769-4CE3-BDD8-BD06A0969C90}">
  <dimension ref="A1:F219"/>
  <sheetViews>
    <sheetView tabSelected="1" workbookViewId="0">
      <pane ySplit="1" topLeftCell="A108" activePane="bottomLeft" state="frozen"/>
      <selection pane="bottomLeft" activeCell="D1" sqref="D1"/>
    </sheetView>
  </sheetViews>
  <sheetFormatPr defaultRowHeight="14.5" x14ac:dyDescent="0.35"/>
  <cols>
    <col min="1" max="1" width="10.54296875" bestFit="1" customWidth="1"/>
    <col min="2" max="2" width="66.81640625" bestFit="1" customWidth="1"/>
    <col min="3" max="3" width="24.81640625" bestFit="1" customWidth="1"/>
    <col min="4" max="4" width="24.81640625" customWidth="1"/>
    <col min="5" max="5" width="22.90625" bestFit="1" customWidth="1"/>
    <col min="6" max="6" width="49.90625" style="3" customWidth="1"/>
    <col min="7" max="7" width="70.1796875" bestFit="1" customWidth="1"/>
    <col min="8" max="8" width="80.7265625" bestFit="1" customWidth="1"/>
    <col min="9" max="9" width="14" bestFit="1" customWidth="1"/>
  </cols>
  <sheetData>
    <row r="1" spans="1:6" x14ac:dyDescent="0.35">
      <c r="A1" s="4" t="s">
        <v>545</v>
      </c>
      <c r="B1" s="5" t="s">
        <v>0</v>
      </c>
      <c r="C1" s="5" t="s">
        <v>1</v>
      </c>
      <c r="D1" s="5" t="s">
        <v>549</v>
      </c>
      <c r="E1" s="6" t="s">
        <v>3</v>
      </c>
      <c r="F1" s="7" t="s">
        <v>2</v>
      </c>
    </row>
    <row r="2" spans="1:6" x14ac:dyDescent="0.35">
      <c r="A2" s="8">
        <v>1</v>
      </c>
      <c r="B2" s="9" t="s">
        <v>4</v>
      </c>
      <c r="C2" s="9" t="s">
        <v>5</v>
      </c>
      <c r="D2" s="9">
        <v>5</v>
      </c>
      <c r="E2" s="10">
        <v>100000</v>
      </c>
      <c r="F2" s="11" t="s">
        <v>6</v>
      </c>
    </row>
    <row r="3" spans="1:6" x14ac:dyDescent="0.35">
      <c r="A3" s="12">
        <v>2</v>
      </c>
      <c r="B3" s="13" t="s">
        <v>7</v>
      </c>
      <c r="C3" s="13" t="s">
        <v>546</v>
      </c>
      <c r="D3" s="13">
        <f t="shared" ref="D3:D8" si="0">RIGHT(C3,3)-LEFT(C3,3)+1</f>
        <v>16</v>
      </c>
      <c r="E3" s="14">
        <v>10000000</v>
      </c>
      <c r="F3" s="15" t="s">
        <v>8</v>
      </c>
    </row>
    <row r="4" spans="1:6" x14ac:dyDescent="0.35">
      <c r="A4" s="8">
        <v>3</v>
      </c>
      <c r="B4" s="9" t="s">
        <v>9</v>
      </c>
      <c r="C4" s="9" t="s">
        <v>10</v>
      </c>
      <c r="D4" s="13">
        <f t="shared" si="0"/>
        <v>14</v>
      </c>
      <c r="E4" s="10">
        <v>310000</v>
      </c>
      <c r="F4" s="11" t="s">
        <v>11</v>
      </c>
    </row>
    <row r="5" spans="1:6" x14ac:dyDescent="0.35">
      <c r="A5" s="8">
        <v>4</v>
      </c>
      <c r="B5" s="13" t="s">
        <v>12</v>
      </c>
      <c r="C5" s="13" t="s">
        <v>13</v>
      </c>
      <c r="D5" s="13">
        <f t="shared" si="0"/>
        <v>9</v>
      </c>
      <c r="E5" s="14">
        <v>100000000</v>
      </c>
      <c r="F5" s="15" t="s">
        <v>14</v>
      </c>
    </row>
    <row r="6" spans="1:6" x14ac:dyDescent="0.35">
      <c r="A6" s="12">
        <v>5</v>
      </c>
      <c r="B6" s="9" t="s">
        <v>15</v>
      </c>
      <c r="C6" s="9" t="s">
        <v>16</v>
      </c>
      <c r="D6" s="13">
        <f t="shared" si="0"/>
        <v>2</v>
      </c>
      <c r="E6" s="10">
        <v>25000</v>
      </c>
      <c r="F6" s="11" t="s">
        <v>17</v>
      </c>
    </row>
    <row r="7" spans="1:6" x14ac:dyDescent="0.35">
      <c r="A7" s="8">
        <v>6</v>
      </c>
      <c r="B7" s="13" t="s">
        <v>18</v>
      </c>
      <c r="C7" s="13" t="s">
        <v>19</v>
      </c>
      <c r="D7" s="13">
        <f t="shared" si="0"/>
        <v>2</v>
      </c>
      <c r="E7" s="14">
        <v>25000</v>
      </c>
      <c r="F7" s="15" t="s">
        <v>20</v>
      </c>
    </row>
    <row r="8" spans="1:6" x14ac:dyDescent="0.35">
      <c r="A8" s="8">
        <v>7</v>
      </c>
      <c r="B8" s="9" t="s">
        <v>21</v>
      </c>
      <c r="C8" s="9" t="s">
        <v>22</v>
      </c>
      <c r="D8" s="13">
        <f t="shared" si="0"/>
        <v>3</v>
      </c>
      <c r="E8" s="10">
        <v>2000000</v>
      </c>
      <c r="F8" s="11" t="s">
        <v>23</v>
      </c>
    </row>
    <row r="9" spans="1:6" x14ac:dyDescent="0.35">
      <c r="A9" s="12">
        <v>8</v>
      </c>
      <c r="B9" s="13" t="s">
        <v>24</v>
      </c>
      <c r="C9" s="13" t="s">
        <v>25</v>
      </c>
      <c r="D9" s="13">
        <f t="shared" ref="D9:D72" si="1">RIGHT(C9,4)-LEFT(C9,4)+1</f>
        <v>8</v>
      </c>
      <c r="E9" s="14">
        <v>200000000</v>
      </c>
      <c r="F9" s="15" t="s">
        <v>26</v>
      </c>
    </row>
    <row r="10" spans="1:6" x14ac:dyDescent="0.35">
      <c r="A10" s="8">
        <v>9</v>
      </c>
      <c r="B10" s="9" t="s">
        <v>27</v>
      </c>
      <c r="C10" s="9" t="s">
        <v>28</v>
      </c>
      <c r="D10" s="13">
        <f t="shared" si="1"/>
        <v>67</v>
      </c>
      <c r="E10" s="10">
        <v>10000</v>
      </c>
      <c r="F10" s="11" t="s">
        <v>29</v>
      </c>
    </row>
    <row r="11" spans="1:6" x14ac:dyDescent="0.35">
      <c r="A11" s="8">
        <v>10</v>
      </c>
      <c r="B11" s="13" t="s">
        <v>30</v>
      </c>
      <c r="C11" s="13" t="s">
        <v>31</v>
      </c>
      <c r="D11" s="13">
        <f t="shared" si="1"/>
        <v>1</v>
      </c>
      <c r="E11" s="14">
        <v>17000</v>
      </c>
      <c r="F11" s="15" t="s">
        <v>32</v>
      </c>
    </row>
    <row r="12" spans="1:6" x14ac:dyDescent="0.35">
      <c r="A12" s="12">
        <v>11</v>
      </c>
      <c r="B12" s="9" t="s">
        <v>33</v>
      </c>
      <c r="C12" s="9" t="s">
        <v>34</v>
      </c>
      <c r="D12" s="13">
        <f t="shared" si="1"/>
        <v>2</v>
      </c>
      <c r="E12" s="10">
        <v>8000000</v>
      </c>
      <c r="F12" s="11" t="s">
        <v>35</v>
      </c>
    </row>
    <row r="13" spans="1:6" x14ac:dyDescent="0.35">
      <c r="A13" s="8">
        <v>12</v>
      </c>
      <c r="B13" s="13" t="s">
        <v>36</v>
      </c>
      <c r="C13" s="13" t="s">
        <v>37</v>
      </c>
      <c r="D13" s="13">
        <f t="shared" si="1"/>
        <v>4</v>
      </c>
      <c r="E13" s="14">
        <v>15000000</v>
      </c>
      <c r="F13" s="15" t="s">
        <v>35</v>
      </c>
    </row>
    <row r="14" spans="1:6" x14ac:dyDescent="0.35">
      <c r="A14" s="8">
        <v>13</v>
      </c>
      <c r="B14" s="9" t="s">
        <v>38</v>
      </c>
      <c r="C14" s="9" t="s">
        <v>39</v>
      </c>
      <c r="D14" s="13">
        <f t="shared" si="1"/>
        <v>2</v>
      </c>
      <c r="E14" s="10">
        <v>20100</v>
      </c>
      <c r="F14" s="11" t="s">
        <v>40</v>
      </c>
    </row>
    <row r="15" spans="1:6" x14ac:dyDescent="0.35">
      <c r="A15" s="12">
        <v>14</v>
      </c>
      <c r="B15" s="13" t="s">
        <v>41</v>
      </c>
      <c r="C15" s="13" t="s">
        <v>42</v>
      </c>
      <c r="D15" s="13">
        <f t="shared" si="1"/>
        <v>5</v>
      </c>
      <c r="E15" s="14">
        <v>2500000</v>
      </c>
      <c r="F15" s="15" t="s">
        <v>35</v>
      </c>
    </row>
    <row r="16" spans="1:6" x14ac:dyDescent="0.35">
      <c r="A16" s="8">
        <v>15</v>
      </c>
      <c r="B16" s="9" t="s">
        <v>43</v>
      </c>
      <c r="C16" s="9" t="s">
        <v>44</v>
      </c>
      <c r="D16" s="13">
        <f t="shared" si="1"/>
        <v>2</v>
      </c>
      <c r="E16" s="10">
        <v>9000</v>
      </c>
      <c r="F16" s="11" t="s">
        <v>45</v>
      </c>
    </row>
    <row r="17" spans="1:6" x14ac:dyDescent="0.35">
      <c r="A17" s="8">
        <v>16</v>
      </c>
      <c r="B17" s="13" t="s">
        <v>46</v>
      </c>
      <c r="C17" s="13" t="s">
        <v>47</v>
      </c>
      <c r="D17" s="13">
        <f t="shared" si="1"/>
        <v>2</v>
      </c>
      <c r="E17" s="14">
        <v>3000</v>
      </c>
      <c r="F17" s="15" t="s">
        <v>48</v>
      </c>
    </row>
    <row r="18" spans="1:6" x14ac:dyDescent="0.35">
      <c r="A18" s="12">
        <v>17</v>
      </c>
      <c r="B18" s="9" t="s">
        <v>49</v>
      </c>
      <c r="C18" s="9" t="s">
        <v>47</v>
      </c>
      <c r="D18" s="13">
        <f t="shared" si="1"/>
        <v>2</v>
      </c>
      <c r="E18" s="10">
        <v>19900</v>
      </c>
      <c r="F18" s="11" t="s">
        <v>40</v>
      </c>
    </row>
    <row r="19" spans="1:6" x14ac:dyDescent="0.35">
      <c r="A19" s="8">
        <v>18</v>
      </c>
      <c r="B19" s="13" t="s">
        <v>50</v>
      </c>
      <c r="C19" s="13" t="s">
        <v>51</v>
      </c>
      <c r="D19" s="13">
        <f t="shared" si="1"/>
        <v>7</v>
      </c>
      <c r="E19" s="14">
        <v>700000</v>
      </c>
      <c r="F19" s="15" t="s">
        <v>32</v>
      </c>
    </row>
    <row r="20" spans="1:6" x14ac:dyDescent="0.35">
      <c r="A20" s="8">
        <v>19</v>
      </c>
      <c r="B20" s="9" t="s">
        <v>52</v>
      </c>
      <c r="C20" s="9" t="s">
        <v>53</v>
      </c>
      <c r="D20" s="13">
        <f t="shared" si="1"/>
        <v>1</v>
      </c>
      <c r="E20" s="10">
        <v>40000</v>
      </c>
      <c r="F20" s="11" t="s">
        <v>40</v>
      </c>
    </row>
    <row r="21" spans="1:6" x14ac:dyDescent="0.35">
      <c r="A21" s="12">
        <v>20</v>
      </c>
      <c r="B21" s="13" t="s">
        <v>54</v>
      </c>
      <c r="C21" s="13" t="s">
        <v>55</v>
      </c>
      <c r="D21" s="13">
        <f t="shared" si="1"/>
        <v>3</v>
      </c>
      <c r="E21" s="14">
        <v>1000000</v>
      </c>
      <c r="F21" s="15" t="s">
        <v>56</v>
      </c>
    </row>
    <row r="22" spans="1:6" x14ac:dyDescent="0.35">
      <c r="A22" s="8">
        <v>21</v>
      </c>
      <c r="B22" s="9" t="s">
        <v>57</v>
      </c>
      <c r="C22" s="9" t="s">
        <v>58</v>
      </c>
      <c r="D22" s="13">
        <f t="shared" si="1"/>
        <v>4</v>
      </c>
      <c r="E22" s="10">
        <v>13712</v>
      </c>
      <c r="F22" s="11" t="s">
        <v>59</v>
      </c>
    </row>
    <row r="23" spans="1:6" x14ac:dyDescent="0.35">
      <c r="A23" s="8">
        <v>22</v>
      </c>
      <c r="B23" s="13" t="s">
        <v>60</v>
      </c>
      <c r="C23" s="13" t="s">
        <v>61</v>
      </c>
      <c r="D23" s="13">
        <f t="shared" si="1"/>
        <v>2</v>
      </c>
      <c r="E23" s="14">
        <v>1000</v>
      </c>
      <c r="F23" s="15" t="s">
        <v>62</v>
      </c>
    </row>
    <row r="24" spans="1:6" x14ac:dyDescent="0.35">
      <c r="A24" s="12">
        <v>23</v>
      </c>
      <c r="B24" s="9" t="s">
        <v>63</v>
      </c>
      <c r="C24" s="9" t="s">
        <v>64</v>
      </c>
      <c r="D24" s="13">
        <f t="shared" si="1"/>
        <v>7</v>
      </c>
      <c r="E24" s="10">
        <v>25000</v>
      </c>
      <c r="F24" s="11" t="s">
        <v>65</v>
      </c>
    </row>
    <row r="25" spans="1:6" x14ac:dyDescent="0.35">
      <c r="A25" s="8">
        <v>24</v>
      </c>
      <c r="B25" s="13" t="s">
        <v>66</v>
      </c>
      <c r="C25" s="13" t="s">
        <v>67</v>
      </c>
      <c r="D25" s="13">
        <f t="shared" si="1"/>
        <v>2</v>
      </c>
      <c r="E25" s="14">
        <v>10400</v>
      </c>
      <c r="F25" s="15" t="s">
        <v>68</v>
      </c>
    </row>
    <row r="26" spans="1:6" x14ac:dyDescent="0.35">
      <c r="A26" s="8">
        <v>25</v>
      </c>
      <c r="B26" s="9" t="s">
        <v>69</v>
      </c>
      <c r="C26" s="9" t="s">
        <v>70</v>
      </c>
      <c r="D26" s="13">
        <f t="shared" si="1"/>
        <v>12</v>
      </c>
      <c r="E26" s="10">
        <v>200000</v>
      </c>
      <c r="F26" s="11" t="s">
        <v>71</v>
      </c>
    </row>
    <row r="27" spans="1:6" x14ac:dyDescent="0.35">
      <c r="A27" s="12">
        <v>26</v>
      </c>
      <c r="B27" s="13" t="s">
        <v>72</v>
      </c>
      <c r="C27" s="13" t="s">
        <v>73</v>
      </c>
      <c r="D27" s="13">
        <f t="shared" si="1"/>
        <v>6</v>
      </c>
      <c r="E27" s="14">
        <v>500000</v>
      </c>
      <c r="F27" s="15" t="s">
        <v>32</v>
      </c>
    </row>
    <row r="28" spans="1:6" x14ac:dyDescent="0.35">
      <c r="A28" s="8">
        <v>27</v>
      </c>
      <c r="B28" s="9" t="s">
        <v>75</v>
      </c>
      <c r="C28" s="9" t="s">
        <v>76</v>
      </c>
      <c r="D28" s="13">
        <f t="shared" si="1"/>
        <v>3</v>
      </c>
      <c r="E28" s="10">
        <v>1250000</v>
      </c>
      <c r="F28" s="11" t="s">
        <v>56</v>
      </c>
    </row>
    <row r="29" spans="1:6" x14ac:dyDescent="0.35">
      <c r="A29" s="8">
        <v>28</v>
      </c>
      <c r="B29" s="13" t="s">
        <v>77</v>
      </c>
      <c r="C29" s="13" t="s">
        <v>78</v>
      </c>
      <c r="D29" s="13">
        <f t="shared" si="1"/>
        <v>2</v>
      </c>
      <c r="E29" s="14">
        <v>24148</v>
      </c>
      <c r="F29" s="15" t="s">
        <v>79</v>
      </c>
    </row>
    <row r="30" spans="1:6" x14ac:dyDescent="0.35">
      <c r="A30" s="12">
        <v>29</v>
      </c>
      <c r="B30" s="9" t="s">
        <v>80</v>
      </c>
      <c r="C30" s="9" t="s">
        <v>81</v>
      </c>
      <c r="D30" s="13">
        <f t="shared" si="1"/>
        <v>2</v>
      </c>
      <c r="E30" s="10">
        <v>100000</v>
      </c>
      <c r="F30" s="11" t="s">
        <v>82</v>
      </c>
    </row>
    <row r="31" spans="1:6" x14ac:dyDescent="0.35">
      <c r="A31" s="8">
        <v>30</v>
      </c>
      <c r="B31" s="13" t="s">
        <v>83</v>
      </c>
      <c r="C31" s="13" t="s">
        <v>84</v>
      </c>
      <c r="D31" s="13">
        <f t="shared" si="1"/>
        <v>1</v>
      </c>
      <c r="E31" s="14">
        <v>40000</v>
      </c>
      <c r="F31" s="15" t="s">
        <v>85</v>
      </c>
    </row>
    <row r="32" spans="1:6" x14ac:dyDescent="0.35">
      <c r="A32" s="8">
        <v>31</v>
      </c>
      <c r="B32" s="9" t="s">
        <v>86</v>
      </c>
      <c r="C32" s="9" t="s">
        <v>87</v>
      </c>
      <c r="D32" s="13">
        <f t="shared" si="1"/>
        <v>2</v>
      </c>
      <c r="E32" s="10">
        <v>11300</v>
      </c>
      <c r="F32" s="11" t="s">
        <v>48</v>
      </c>
    </row>
    <row r="33" spans="1:6" x14ac:dyDescent="0.35">
      <c r="A33" s="12">
        <v>32</v>
      </c>
      <c r="B33" s="13" t="s">
        <v>88</v>
      </c>
      <c r="C33" s="13" t="s">
        <v>89</v>
      </c>
      <c r="D33" s="13">
        <f t="shared" si="1"/>
        <v>2</v>
      </c>
      <c r="E33" s="14">
        <v>1000</v>
      </c>
      <c r="F33" s="15" t="s">
        <v>90</v>
      </c>
    </row>
    <row r="34" spans="1:6" x14ac:dyDescent="0.35">
      <c r="A34" s="8">
        <v>33</v>
      </c>
      <c r="B34" s="9" t="s">
        <v>91</v>
      </c>
      <c r="C34" s="9" t="s">
        <v>92</v>
      </c>
      <c r="D34" s="13">
        <f t="shared" si="1"/>
        <v>1</v>
      </c>
      <c r="E34" s="10">
        <v>76000</v>
      </c>
      <c r="F34" s="11" t="s">
        <v>93</v>
      </c>
    </row>
    <row r="35" spans="1:6" x14ac:dyDescent="0.35">
      <c r="A35" s="8">
        <v>34</v>
      </c>
      <c r="B35" s="13" t="s">
        <v>94</v>
      </c>
      <c r="C35" s="13" t="s">
        <v>95</v>
      </c>
      <c r="D35" s="13">
        <f t="shared" si="1"/>
        <v>1</v>
      </c>
      <c r="E35" s="14">
        <v>83000</v>
      </c>
      <c r="F35" s="15" t="s">
        <v>96</v>
      </c>
    </row>
    <row r="36" spans="1:6" x14ac:dyDescent="0.35">
      <c r="A36" s="12">
        <v>35</v>
      </c>
      <c r="B36" s="9" t="s">
        <v>98</v>
      </c>
      <c r="C36" s="9" t="s">
        <v>99</v>
      </c>
      <c r="D36" s="13">
        <f t="shared" si="1"/>
        <v>1</v>
      </c>
      <c r="E36" s="10">
        <v>3100</v>
      </c>
      <c r="F36" s="11" t="s">
        <v>100</v>
      </c>
    </row>
    <row r="37" spans="1:6" x14ac:dyDescent="0.35">
      <c r="A37" s="8">
        <v>36</v>
      </c>
      <c r="B37" s="13" t="s">
        <v>101</v>
      </c>
      <c r="C37" s="13" t="s">
        <v>102</v>
      </c>
      <c r="D37" s="13">
        <f t="shared" si="1"/>
        <v>1</v>
      </c>
      <c r="E37" s="14">
        <v>520</v>
      </c>
      <c r="F37" s="15" t="s">
        <v>103</v>
      </c>
    </row>
    <row r="38" spans="1:6" x14ac:dyDescent="0.35">
      <c r="A38" s="8">
        <v>37</v>
      </c>
      <c r="B38" s="9" t="s">
        <v>104</v>
      </c>
      <c r="C38" s="9" t="s">
        <v>105</v>
      </c>
      <c r="D38" s="13">
        <f t="shared" si="1"/>
        <v>1</v>
      </c>
      <c r="E38" s="10">
        <v>500</v>
      </c>
      <c r="F38" s="11" t="s">
        <v>106</v>
      </c>
    </row>
    <row r="39" spans="1:6" x14ac:dyDescent="0.35">
      <c r="A39" s="12">
        <v>38</v>
      </c>
      <c r="B39" s="13" t="s">
        <v>107</v>
      </c>
      <c r="C39" s="13" t="s">
        <v>108</v>
      </c>
      <c r="D39" s="13">
        <f t="shared" si="1"/>
        <v>2</v>
      </c>
      <c r="E39" s="14">
        <v>1300</v>
      </c>
      <c r="F39" s="15" t="s">
        <v>109</v>
      </c>
    </row>
    <row r="40" spans="1:6" x14ac:dyDescent="0.35">
      <c r="A40" s="8">
        <v>39</v>
      </c>
      <c r="B40" s="9" t="s">
        <v>110</v>
      </c>
      <c r="C40" s="9" t="s">
        <v>111</v>
      </c>
      <c r="D40" s="13">
        <f t="shared" si="1"/>
        <v>3</v>
      </c>
      <c r="E40" s="10">
        <v>18000</v>
      </c>
      <c r="F40" s="11" t="s">
        <v>112</v>
      </c>
    </row>
    <row r="41" spans="1:6" x14ac:dyDescent="0.35">
      <c r="A41" s="8">
        <v>40</v>
      </c>
      <c r="B41" s="13" t="s">
        <v>113</v>
      </c>
      <c r="C41" s="13" t="s">
        <v>114</v>
      </c>
      <c r="D41" s="13">
        <f t="shared" si="1"/>
        <v>3</v>
      </c>
      <c r="E41" s="14">
        <v>164000</v>
      </c>
      <c r="F41" s="15" t="s">
        <v>115</v>
      </c>
    </row>
    <row r="42" spans="1:6" x14ac:dyDescent="0.35">
      <c r="A42" s="12">
        <v>41</v>
      </c>
      <c r="B42" s="9" t="s">
        <v>116</v>
      </c>
      <c r="C42" s="9" t="s">
        <v>117</v>
      </c>
      <c r="D42" s="13">
        <f t="shared" si="1"/>
        <v>3</v>
      </c>
      <c r="E42" s="10">
        <v>100000</v>
      </c>
      <c r="F42" s="11" t="s">
        <v>85</v>
      </c>
    </row>
    <row r="43" spans="1:6" x14ac:dyDescent="0.35">
      <c r="A43" s="8">
        <v>42</v>
      </c>
      <c r="B43" s="13" t="s">
        <v>118</v>
      </c>
      <c r="C43" s="13" t="s">
        <v>119</v>
      </c>
      <c r="D43" s="13">
        <f t="shared" si="1"/>
        <v>2</v>
      </c>
      <c r="E43" s="14">
        <v>844</v>
      </c>
      <c r="F43" s="15" t="s">
        <v>120</v>
      </c>
    </row>
    <row r="44" spans="1:6" x14ac:dyDescent="0.35">
      <c r="A44" s="8">
        <v>43</v>
      </c>
      <c r="B44" s="9" t="s">
        <v>121</v>
      </c>
      <c r="C44" s="9" t="s">
        <v>122</v>
      </c>
      <c r="D44" s="13">
        <f t="shared" si="1"/>
        <v>1</v>
      </c>
      <c r="E44" s="10">
        <v>2200</v>
      </c>
      <c r="F44" s="11" t="s">
        <v>123</v>
      </c>
    </row>
    <row r="45" spans="1:6" x14ac:dyDescent="0.35">
      <c r="A45" s="12">
        <v>44</v>
      </c>
      <c r="B45" s="13" t="s">
        <v>124</v>
      </c>
      <c r="C45" s="13" t="s">
        <v>125</v>
      </c>
      <c r="D45" s="13">
        <f t="shared" si="1"/>
        <v>7</v>
      </c>
      <c r="E45" s="14">
        <v>20000</v>
      </c>
      <c r="F45" s="15" t="s">
        <v>126</v>
      </c>
    </row>
    <row r="46" spans="1:6" x14ac:dyDescent="0.35">
      <c r="A46" s="8">
        <v>45</v>
      </c>
      <c r="B46" s="9" t="s">
        <v>127</v>
      </c>
      <c r="C46" s="9" t="s">
        <v>128</v>
      </c>
      <c r="D46" s="13">
        <f t="shared" si="1"/>
        <v>1</v>
      </c>
      <c r="E46" s="10">
        <v>50000</v>
      </c>
      <c r="F46" s="11" t="s">
        <v>129</v>
      </c>
    </row>
    <row r="47" spans="1:6" x14ac:dyDescent="0.35">
      <c r="A47" s="8">
        <v>46</v>
      </c>
      <c r="B47" s="13" t="s">
        <v>130</v>
      </c>
      <c r="C47" s="13" t="s">
        <v>131</v>
      </c>
      <c r="D47" s="13">
        <f t="shared" si="1"/>
        <v>2</v>
      </c>
      <c r="E47" s="14">
        <v>11700</v>
      </c>
      <c r="F47" s="15" t="s">
        <v>132</v>
      </c>
    </row>
    <row r="48" spans="1:6" x14ac:dyDescent="0.35">
      <c r="A48" s="12">
        <v>47</v>
      </c>
      <c r="B48" s="9" t="s">
        <v>133</v>
      </c>
      <c r="C48" s="9" t="s">
        <v>134</v>
      </c>
      <c r="D48" s="13">
        <f t="shared" si="1"/>
        <v>1</v>
      </c>
      <c r="E48" s="10">
        <v>20000</v>
      </c>
      <c r="F48" s="11" t="s">
        <v>135</v>
      </c>
    </row>
    <row r="49" spans="1:6" x14ac:dyDescent="0.35">
      <c r="A49" s="8">
        <v>48</v>
      </c>
      <c r="B49" s="13" t="s">
        <v>136</v>
      </c>
      <c r="C49" s="13" t="s">
        <v>137</v>
      </c>
      <c r="D49" s="13">
        <f t="shared" si="1"/>
        <v>1</v>
      </c>
      <c r="E49" s="14">
        <v>50000</v>
      </c>
      <c r="F49" s="15" t="s">
        <v>138</v>
      </c>
    </row>
    <row r="50" spans="1:6" x14ac:dyDescent="0.35">
      <c r="A50" s="8">
        <v>49</v>
      </c>
      <c r="B50" s="9" t="s">
        <v>140</v>
      </c>
      <c r="C50" s="9" t="s">
        <v>141</v>
      </c>
      <c r="D50" s="13">
        <f t="shared" si="1"/>
        <v>1</v>
      </c>
      <c r="E50" s="10">
        <v>940</v>
      </c>
      <c r="F50" s="11" t="s">
        <v>142</v>
      </c>
    </row>
    <row r="51" spans="1:6" x14ac:dyDescent="0.35">
      <c r="A51" s="12">
        <v>50</v>
      </c>
      <c r="B51" s="13" t="s">
        <v>143</v>
      </c>
      <c r="C51" s="13" t="s">
        <v>144</v>
      </c>
      <c r="D51" s="13">
        <f t="shared" si="1"/>
        <v>1</v>
      </c>
      <c r="E51" s="14">
        <v>8000</v>
      </c>
      <c r="F51" s="15" t="s">
        <v>145</v>
      </c>
    </row>
    <row r="52" spans="1:6" x14ac:dyDescent="0.35">
      <c r="A52" s="8">
        <v>51</v>
      </c>
      <c r="B52" s="9" t="s">
        <v>146</v>
      </c>
      <c r="C52" s="9" t="s">
        <v>147</v>
      </c>
      <c r="D52" s="13">
        <f t="shared" si="1"/>
        <v>3</v>
      </c>
      <c r="E52" s="10">
        <v>50000</v>
      </c>
      <c r="F52" s="11" t="s">
        <v>148</v>
      </c>
    </row>
    <row r="53" spans="1:6" x14ac:dyDescent="0.35">
      <c r="A53" s="8">
        <v>52</v>
      </c>
      <c r="B53" s="13" t="s">
        <v>149</v>
      </c>
      <c r="C53" s="13" t="s">
        <v>150</v>
      </c>
      <c r="D53" s="13">
        <f t="shared" si="1"/>
        <v>1</v>
      </c>
      <c r="E53" s="14">
        <v>1080</v>
      </c>
      <c r="F53" s="15" t="s">
        <v>139</v>
      </c>
    </row>
    <row r="54" spans="1:6" x14ac:dyDescent="0.35">
      <c r="A54" s="12">
        <v>53</v>
      </c>
      <c r="B54" s="9" t="s">
        <v>151</v>
      </c>
      <c r="C54" s="9" t="s">
        <v>152</v>
      </c>
      <c r="D54" s="13">
        <f t="shared" si="1"/>
        <v>2</v>
      </c>
      <c r="E54" s="10">
        <v>2000000</v>
      </c>
      <c r="F54" s="11" t="s">
        <v>153</v>
      </c>
    </row>
    <row r="55" spans="1:6" x14ac:dyDescent="0.35">
      <c r="A55" s="8">
        <v>54</v>
      </c>
      <c r="B55" s="13" t="s">
        <v>154</v>
      </c>
      <c r="C55" s="13" t="s">
        <v>155</v>
      </c>
      <c r="D55" s="13">
        <f t="shared" si="1"/>
        <v>8</v>
      </c>
      <c r="E55" s="14">
        <v>11000</v>
      </c>
      <c r="F55" s="15" t="s">
        <v>156</v>
      </c>
    </row>
    <row r="56" spans="1:6" x14ac:dyDescent="0.35">
      <c r="A56" s="8">
        <v>55</v>
      </c>
      <c r="B56" s="9" t="s">
        <v>158</v>
      </c>
      <c r="C56" s="9" t="s">
        <v>159</v>
      </c>
      <c r="D56" s="13">
        <f t="shared" si="1"/>
        <v>1</v>
      </c>
      <c r="E56" s="10">
        <v>5000</v>
      </c>
      <c r="F56" s="11" t="s">
        <v>160</v>
      </c>
    </row>
    <row r="57" spans="1:6" x14ac:dyDescent="0.35">
      <c r="A57" s="12">
        <v>56</v>
      </c>
      <c r="B57" s="13" t="s">
        <v>161</v>
      </c>
      <c r="C57" s="13" t="s">
        <v>162</v>
      </c>
      <c r="D57" s="13">
        <f t="shared" si="1"/>
        <v>4</v>
      </c>
      <c r="E57" s="14">
        <v>60000</v>
      </c>
      <c r="F57" s="15" t="s">
        <v>32</v>
      </c>
    </row>
    <row r="58" spans="1:6" x14ac:dyDescent="0.35">
      <c r="A58" s="8">
        <v>57</v>
      </c>
      <c r="B58" s="9" t="s">
        <v>163</v>
      </c>
      <c r="C58" s="9" t="s">
        <v>164</v>
      </c>
      <c r="D58" s="13">
        <f t="shared" si="1"/>
        <v>2</v>
      </c>
      <c r="E58" s="10">
        <v>55000</v>
      </c>
      <c r="F58" s="11" t="s">
        <v>165</v>
      </c>
    </row>
    <row r="59" spans="1:6" x14ac:dyDescent="0.35">
      <c r="A59" s="8">
        <v>58</v>
      </c>
      <c r="B59" s="13" t="s">
        <v>166</v>
      </c>
      <c r="C59" s="13" t="s">
        <v>167</v>
      </c>
      <c r="D59" s="13">
        <f t="shared" si="1"/>
        <v>1</v>
      </c>
      <c r="E59" s="14">
        <v>300000</v>
      </c>
      <c r="F59" s="15" t="s">
        <v>148</v>
      </c>
    </row>
    <row r="60" spans="1:6" x14ac:dyDescent="0.35">
      <c r="A60" s="12">
        <v>59</v>
      </c>
      <c r="B60" s="9" t="s">
        <v>168</v>
      </c>
      <c r="C60" s="9" t="s">
        <v>169</v>
      </c>
      <c r="D60" s="13">
        <f t="shared" si="1"/>
        <v>8</v>
      </c>
      <c r="E60" s="10">
        <v>300000</v>
      </c>
      <c r="F60" s="11" t="s">
        <v>170</v>
      </c>
    </row>
    <row r="61" spans="1:6" x14ac:dyDescent="0.35">
      <c r="A61" s="8">
        <v>60</v>
      </c>
      <c r="B61" s="13" t="s">
        <v>171</v>
      </c>
      <c r="C61" s="13" t="s">
        <v>172</v>
      </c>
      <c r="D61" s="13">
        <f t="shared" si="1"/>
        <v>2</v>
      </c>
      <c r="E61" s="14">
        <v>4500</v>
      </c>
      <c r="F61" s="15" t="s">
        <v>48</v>
      </c>
    </row>
    <row r="62" spans="1:6" x14ac:dyDescent="0.35">
      <c r="A62" s="8">
        <v>61</v>
      </c>
      <c r="B62" s="9" t="s">
        <v>173</v>
      </c>
      <c r="C62" s="9" t="s">
        <v>174</v>
      </c>
      <c r="D62" s="13">
        <f t="shared" si="1"/>
        <v>1</v>
      </c>
      <c r="E62" s="10">
        <v>60000</v>
      </c>
      <c r="F62" s="11" t="s">
        <v>175</v>
      </c>
    </row>
    <row r="63" spans="1:6" x14ac:dyDescent="0.35">
      <c r="A63" s="12">
        <v>62</v>
      </c>
      <c r="B63" s="13" t="s">
        <v>176</v>
      </c>
      <c r="C63" s="13" t="s">
        <v>177</v>
      </c>
      <c r="D63" s="13">
        <f t="shared" si="1"/>
        <v>3</v>
      </c>
      <c r="E63" s="14">
        <v>65000</v>
      </c>
      <c r="F63" s="15" t="s">
        <v>178</v>
      </c>
    </row>
    <row r="64" spans="1:6" x14ac:dyDescent="0.35">
      <c r="A64" s="8">
        <v>63</v>
      </c>
      <c r="B64" s="9" t="s">
        <v>179</v>
      </c>
      <c r="C64" s="9" t="s">
        <v>180</v>
      </c>
      <c r="D64" s="13">
        <f t="shared" si="1"/>
        <v>8</v>
      </c>
      <c r="E64" s="10">
        <v>100000</v>
      </c>
      <c r="F64" s="11" t="s">
        <v>181</v>
      </c>
    </row>
    <row r="65" spans="1:6" x14ac:dyDescent="0.35">
      <c r="A65" s="8">
        <v>64</v>
      </c>
      <c r="B65" s="13" t="s">
        <v>182</v>
      </c>
      <c r="C65" s="13" t="s">
        <v>183</v>
      </c>
      <c r="D65" s="13">
        <f t="shared" si="1"/>
        <v>1</v>
      </c>
      <c r="E65" s="14">
        <v>700</v>
      </c>
      <c r="F65" s="15" t="s">
        <v>184</v>
      </c>
    </row>
    <row r="66" spans="1:6" x14ac:dyDescent="0.35">
      <c r="A66" s="12">
        <v>65</v>
      </c>
      <c r="B66" s="9" t="s">
        <v>185</v>
      </c>
      <c r="C66" s="9" t="s">
        <v>186</v>
      </c>
      <c r="D66" s="13">
        <f t="shared" si="1"/>
        <v>1</v>
      </c>
      <c r="E66" s="10">
        <v>20000</v>
      </c>
      <c r="F66" s="11" t="s">
        <v>187</v>
      </c>
    </row>
    <row r="67" spans="1:6" x14ac:dyDescent="0.35">
      <c r="A67" s="8">
        <v>66</v>
      </c>
      <c r="B67" s="13" t="s">
        <v>188</v>
      </c>
      <c r="C67" s="13" t="s">
        <v>189</v>
      </c>
      <c r="D67" s="13">
        <f t="shared" si="1"/>
        <v>12</v>
      </c>
      <c r="E67" s="14">
        <v>100000</v>
      </c>
      <c r="F67" s="15" t="s">
        <v>190</v>
      </c>
    </row>
    <row r="68" spans="1:6" x14ac:dyDescent="0.35">
      <c r="A68" s="8">
        <v>67</v>
      </c>
      <c r="B68" s="9" t="s">
        <v>191</v>
      </c>
      <c r="C68" s="9" t="s">
        <v>192</v>
      </c>
      <c r="D68" s="13">
        <f t="shared" si="1"/>
        <v>2</v>
      </c>
      <c r="E68" s="10">
        <v>19000</v>
      </c>
      <c r="F68" s="11" t="s">
        <v>157</v>
      </c>
    </row>
    <row r="69" spans="1:6" x14ac:dyDescent="0.35">
      <c r="A69" s="12">
        <v>68</v>
      </c>
      <c r="B69" s="13" t="s">
        <v>193</v>
      </c>
      <c r="C69" s="13" t="s">
        <v>194</v>
      </c>
      <c r="D69" s="13">
        <f t="shared" si="1"/>
        <v>1</v>
      </c>
      <c r="E69" s="14">
        <v>2800</v>
      </c>
      <c r="F69" s="15" t="s">
        <v>195</v>
      </c>
    </row>
    <row r="70" spans="1:6" x14ac:dyDescent="0.35">
      <c r="A70" s="8">
        <v>69</v>
      </c>
      <c r="B70" s="9" t="s">
        <v>196</v>
      </c>
      <c r="C70" s="9" t="s">
        <v>197</v>
      </c>
      <c r="D70" s="13">
        <f t="shared" si="1"/>
        <v>5</v>
      </c>
      <c r="E70" s="10">
        <v>150000</v>
      </c>
      <c r="F70" s="11" t="s">
        <v>198</v>
      </c>
    </row>
    <row r="71" spans="1:6" x14ac:dyDescent="0.35">
      <c r="A71" s="8">
        <v>70</v>
      </c>
      <c r="B71" s="13" t="s">
        <v>200</v>
      </c>
      <c r="C71" s="13" t="s">
        <v>201</v>
      </c>
      <c r="D71" s="13">
        <f t="shared" si="1"/>
        <v>2</v>
      </c>
      <c r="E71" s="14">
        <v>17000</v>
      </c>
      <c r="F71" s="15" t="s">
        <v>202</v>
      </c>
    </row>
    <row r="72" spans="1:6" x14ac:dyDescent="0.35">
      <c r="A72" s="12">
        <v>71</v>
      </c>
      <c r="B72" s="9" t="s">
        <v>203</v>
      </c>
      <c r="C72" s="9" t="s">
        <v>204</v>
      </c>
      <c r="D72" s="13">
        <f t="shared" si="1"/>
        <v>1</v>
      </c>
      <c r="E72" s="10">
        <v>3498</v>
      </c>
      <c r="F72" s="11" t="s">
        <v>205</v>
      </c>
    </row>
    <row r="73" spans="1:6" x14ac:dyDescent="0.35">
      <c r="A73" s="8">
        <v>72</v>
      </c>
      <c r="B73" s="13" t="s">
        <v>206</v>
      </c>
      <c r="C73" s="13" t="s">
        <v>207</v>
      </c>
      <c r="D73" s="13">
        <f t="shared" ref="D73:D136" si="2">RIGHT(C73,4)-LEFT(C73,4)+1</f>
        <v>2</v>
      </c>
      <c r="E73" s="14">
        <v>20000</v>
      </c>
      <c r="F73" s="15" t="s">
        <v>208</v>
      </c>
    </row>
    <row r="74" spans="1:6" x14ac:dyDescent="0.35">
      <c r="A74" s="8">
        <v>73</v>
      </c>
      <c r="B74" s="9" t="s">
        <v>209</v>
      </c>
      <c r="C74" s="9" t="s">
        <v>210</v>
      </c>
      <c r="D74" s="13">
        <f t="shared" si="2"/>
        <v>1</v>
      </c>
      <c r="E74" s="10">
        <v>3400</v>
      </c>
      <c r="F74" s="11" t="s">
        <v>211</v>
      </c>
    </row>
    <row r="75" spans="1:6" x14ac:dyDescent="0.35">
      <c r="A75" s="12">
        <v>74</v>
      </c>
      <c r="B75" s="13" t="s">
        <v>213</v>
      </c>
      <c r="C75" s="13" t="s">
        <v>214</v>
      </c>
      <c r="D75" s="13">
        <f t="shared" si="2"/>
        <v>2</v>
      </c>
      <c r="E75" s="14">
        <v>10000</v>
      </c>
      <c r="F75" s="15" t="s">
        <v>215</v>
      </c>
    </row>
    <row r="76" spans="1:6" x14ac:dyDescent="0.35">
      <c r="A76" s="8">
        <v>75</v>
      </c>
      <c r="B76" s="9" t="s">
        <v>216</v>
      </c>
      <c r="C76" s="9" t="s">
        <v>217</v>
      </c>
      <c r="D76" s="13">
        <f t="shared" si="2"/>
        <v>1</v>
      </c>
      <c r="E76" s="10">
        <v>7970</v>
      </c>
      <c r="F76" s="11" t="s">
        <v>218</v>
      </c>
    </row>
    <row r="77" spans="1:6" x14ac:dyDescent="0.35">
      <c r="A77" s="8">
        <v>76</v>
      </c>
      <c r="B77" s="13" t="s">
        <v>219</v>
      </c>
      <c r="C77" s="13" t="s">
        <v>220</v>
      </c>
      <c r="D77" s="13">
        <f t="shared" si="2"/>
        <v>15</v>
      </c>
      <c r="E77" s="14">
        <v>1000000</v>
      </c>
      <c r="F77" s="15" t="s">
        <v>212</v>
      </c>
    </row>
    <row r="78" spans="1:6" x14ac:dyDescent="0.35">
      <c r="A78" s="12">
        <v>77</v>
      </c>
      <c r="B78" s="9" t="s">
        <v>221</v>
      </c>
      <c r="C78" s="9" t="s">
        <v>217</v>
      </c>
      <c r="D78" s="13">
        <f t="shared" si="2"/>
        <v>1</v>
      </c>
      <c r="E78" s="10">
        <v>4737</v>
      </c>
      <c r="F78" s="11" t="s">
        <v>222</v>
      </c>
    </row>
    <row r="79" spans="1:6" x14ac:dyDescent="0.35">
      <c r="A79" s="8">
        <v>78</v>
      </c>
      <c r="B79" s="13" t="s">
        <v>223</v>
      </c>
      <c r="C79" s="13" t="s">
        <v>224</v>
      </c>
      <c r="D79" s="13">
        <f t="shared" si="2"/>
        <v>1</v>
      </c>
      <c r="E79" s="14">
        <v>616</v>
      </c>
      <c r="F79" s="15" t="s">
        <v>40</v>
      </c>
    </row>
    <row r="80" spans="1:6" x14ac:dyDescent="0.35">
      <c r="A80" s="8">
        <v>79</v>
      </c>
      <c r="B80" s="9" t="s">
        <v>225</v>
      </c>
      <c r="C80" s="9" t="s">
        <v>226</v>
      </c>
      <c r="D80" s="13">
        <f t="shared" si="2"/>
        <v>1</v>
      </c>
      <c r="E80" s="10">
        <v>3000</v>
      </c>
      <c r="F80" s="11" t="s">
        <v>227</v>
      </c>
    </row>
    <row r="81" spans="1:6" x14ac:dyDescent="0.35">
      <c r="A81" s="12">
        <v>80</v>
      </c>
      <c r="B81" s="13" t="s">
        <v>228</v>
      </c>
      <c r="C81" s="13" t="s">
        <v>229</v>
      </c>
      <c r="D81" s="13">
        <f t="shared" si="2"/>
        <v>106</v>
      </c>
      <c r="E81" s="14">
        <v>15000000</v>
      </c>
      <c r="F81" s="15" t="s">
        <v>212</v>
      </c>
    </row>
    <row r="82" spans="1:6" x14ac:dyDescent="0.35">
      <c r="A82" s="8">
        <v>81</v>
      </c>
      <c r="B82" s="9" t="s">
        <v>230</v>
      </c>
      <c r="C82" s="9" t="s">
        <v>231</v>
      </c>
      <c r="D82" s="13">
        <f t="shared" si="2"/>
        <v>3</v>
      </c>
      <c r="E82" s="10">
        <v>3400</v>
      </c>
      <c r="F82" s="11" t="s">
        <v>232</v>
      </c>
    </row>
    <row r="83" spans="1:6" x14ac:dyDescent="0.35">
      <c r="A83" s="8">
        <v>82</v>
      </c>
      <c r="B83" s="13" t="s">
        <v>233</v>
      </c>
      <c r="C83" s="13" t="s">
        <v>234</v>
      </c>
      <c r="D83" s="13">
        <f t="shared" si="2"/>
        <v>1</v>
      </c>
      <c r="E83" s="14">
        <v>6000</v>
      </c>
      <c r="F83" s="15" t="s">
        <v>235</v>
      </c>
    </row>
    <row r="84" spans="1:6" x14ac:dyDescent="0.35">
      <c r="A84" s="12">
        <v>83</v>
      </c>
      <c r="B84" s="9" t="s">
        <v>236</v>
      </c>
      <c r="C84" s="9" t="s">
        <v>237</v>
      </c>
      <c r="D84" s="13">
        <f t="shared" si="2"/>
        <v>2</v>
      </c>
      <c r="E84" s="10">
        <v>20000</v>
      </c>
      <c r="F84" s="11" t="s">
        <v>238</v>
      </c>
    </row>
    <row r="85" spans="1:6" x14ac:dyDescent="0.35">
      <c r="A85" s="8">
        <v>84</v>
      </c>
      <c r="B85" s="13" t="s">
        <v>239</v>
      </c>
      <c r="C85" s="13" t="s">
        <v>240</v>
      </c>
      <c r="D85" s="13">
        <f t="shared" si="2"/>
        <v>5</v>
      </c>
      <c r="E85" s="14">
        <v>80000</v>
      </c>
      <c r="F85" s="15" t="s">
        <v>241</v>
      </c>
    </row>
    <row r="86" spans="1:6" x14ac:dyDescent="0.35">
      <c r="A86" s="8">
        <v>85</v>
      </c>
      <c r="B86" s="9" t="s">
        <v>242</v>
      </c>
      <c r="C86" s="9" t="s">
        <v>243</v>
      </c>
      <c r="D86" s="13">
        <f t="shared" si="2"/>
        <v>13</v>
      </c>
      <c r="E86" s="10">
        <v>600000</v>
      </c>
      <c r="F86" s="11" t="s">
        <v>244</v>
      </c>
    </row>
    <row r="87" spans="1:6" x14ac:dyDescent="0.35">
      <c r="A87" s="12">
        <v>86</v>
      </c>
      <c r="B87" s="13" t="s">
        <v>245</v>
      </c>
      <c r="C87" s="13" t="s">
        <v>246</v>
      </c>
      <c r="D87" s="13">
        <f t="shared" si="2"/>
        <v>1</v>
      </c>
      <c r="E87" s="14">
        <v>748</v>
      </c>
      <c r="F87" s="15" t="s">
        <v>247</v>
      </c>
    </row>
    <row r="88" spans="1:6" x14ac:dyDescent="0.35">
      <c r="A88" s="8">
        <v>87</v>
      </c>
      <c r="B88" s="9" t="s">
        <v>248</v>
      </c>
      <c r="C88" s="9" t="s">
        <v>249</v>
      </c>
      <c r="D88" s="13">
        <f t="shared" si="2"/>
        <v>1</v>
      </c>
      <c r="E88" s="10">
        <v>26200</v>
      </c>
      <c r="F88" s="11" t="s">
        <v>250</v>
      </c>
    </row>
    <row r="89" spans="1:6" x14ac:dyDescent="0.35">
      <c r="A89" s="8">
        <v>88</v>
      </c>
      <c r="B89" s="13" t="s">
        <v>251</v>
      </c>
      <c r="C89" s="13" t="s">
        <v>252</v>
      </c>
      <c r="D89" s="13">
        <f t="shared" si="2"/>
        <v>6</v>
      </c>
      <c r="E89" s="14">
        <v>500000</v>
      </c>
      <c r="F89" s="15" t="s">
        <v>11</v>
      </c>
    </row>
    <row r="90" spans="1:6" x14ac:dyDescent="0.35">
      <c r="A90" s="12">
        <v>89</v>
      </c>
      <c r="B90" s="9" t="s">
        <v>253</v>
      </c>
      <c r="C90" s="9" t="s">
        <v>254</v>
      </c>
      <c r="D90" s="13">
        <f t="shared" si="2"/>
        <v>1</v>
      </c>
      <c r="E90" s="10">
        <v>40000</v>
      </c>
      <c r="F90" s="11" t="s">
        <v>255</v>
      </c>
    </row>
    <row r="91" spans="1:6" x14ac:dyDescent="0.35">
      <c r="A91" s="8">
        <v>90</v>
      </c>
      <c r="B91" s="13" t="s">
        <v>256</v>
      </c>
      <c r="C91" s="13" t="s">
        <v>257</v>
      </c>
      <c r="D91" s="13">
        <f t="shared" si="2"/>
        <v>2</v>
      </c>
      <c r="E91" s="14">
        <v>8000</v>
      </c>
      <c r="F91" s="15" t="s">
        <v>258</v>
      </c>
    </row>
    <row r="92" spans="1:6" x14ac:dyDescent="0.35">
      <c r="A92" s="8">
        <v>91</v>
      </c>
      <c r="B92" s="9" t="s">
        <v>259</v>
      </c>
      <c r="C92" s="9" t="s">
        <v>260</v>
      </c>
      <c r="D92" s="13">
        <f t="shared" si="2"/>
        <v>1</v>
      </c>
      <c r="E92" s="10">
        <v>20000</v>
      </c>
      <c r="F92" s="11" t="s">
        <v>170</v>
      </c>
    </row>
    <row r="93" spans="1:6" x14ac:dyDescent="0.35">
      <c r="A93" s="12">
        <v>92</v>
      </c>
      <c r="B93" s="13" t="s">
        <v>261</v>
      </c>
      <c r="C93" s="13" t="s">
        <v>262</v>
      </c>
      <c r="D93" s="13">
        <f t="shared" si="2"/>
        <v>1</v>
      </c>
      <c r="E93" s="14">
        <v>4046</v>
      </c>
      <c r="F93" s="15" t="s">
        <v>218</v>
      </c>
    </row>
    <row r="94" spans="1:6" x14ac:dyDescent="0.35">
      <c r="A94" s="8">
        <v>93</v>
      </c>
      <c r="B94" s="9" t="s">
        <v>263</v>
      </c>
      <c r="C94" s="9" t="s">
        <v>262</v>
      </c>
      <c r="D94" s="13">
        <f t="shared" si="2"/>
        <v>1</v>
      </c>
      <c r="E94" s="10">
        <v>13000</v>
      </c>
      <c r="F94" s="11" t="s">
        <v>264</v>
      </c>
    </row>
    <row r="95" spans="1:6" x14ac:dyDescent="0.35">
      <c r="A95" s="8">
        <v>94</v>
      </c>
      <c r="B95" s="13" t="s">
        <v>265</v>
      </c>
      <c r="C95" s="13" t="s">
        <v>266</v>
      </c>
      <c r="D95" s="13">
        <f t="shared" si="2"/>
        <v>16</v>
      </c>
      <c r="E95" s="14">
        <v>298600</v>
      </c>
      <c r="F95" s="15" t="s">
        <v>267</v>
      </c>
    </row>
    <row r="96" spans="1:6" x14ac:dyDescent="0.35">
      <c r="A96" s="12">
        <v>95</v>
      </c>
      <c r="B96" s="9" t="s">
        <v>268</v>
      </c>
      <c r="C96" s="9" t="s">
        <v>269</v>
      </c>
      <c r="D96" s="13">
        <f t="shared" si="2"/>
        <v>1</v>
      </c>
      <c r="E96" s="10">
        <v>3164</v>
      </c>
      <c r="F96" s="11" t="s">
        <v>270</v>
      </c>
    </row>
    <row r="97" spans="1:6" x14ac:dyDescent="0.35">
      <c r="A97" s="8">
        <v>96</v>
      </c>
      <c r="B97" s="13" t="s">
        <v>271</v>
      </c>
      <c r="C97" s="13" t="s">
        <v>272</v>
      </c>
      <c r="D97" s="13">
        <f t="shared" si="2"/>
        <v>2</v>
      </c>
      <c r="E97" s="14">
        <v>1000000</v>
      </c>
      <c r="F97" s="15" t="s">
        <v>212</v>
      </c>
    </row>
    <row r="98" spans="1:6" x14ac:dyDescent="0.35">
      <c r="A98" s="8">
        <v>97</v>
      </c>
      <c r="B98" s="9" t="s">
        <v>273</v>
      </c>
      <c r="C98" s="9" t="s">
        <v>274</v>
      </c>
      <c r="D98" s="13">
        <f t="shared" si="2"/>
        <v>36</v>
      </c>
      <c r="E98" s="10">
        <v>20000</v>
      </c>
      <c r="F98" s="11" t="s">
        <v>275</v>
      </c>
    </row>
    <row r="99" spans="1:6" x14ac:dyDescent="0.35">
      <c r="A99" s="12">
        <v>98</v>
      </c>
      <c r="B99" s="13" t="s">
        <v>276</v>
      </c>
      <c r="C99" s="13" t="s">
        <v>277</v>
      </c>
      <c r="D99" s="13">
        <f t="shared" si="2"/>
        <v>10</v>
      </c>
      <c r="E99" s="14">
        <v>20788</v>
      </c>
      <c r="F99" s="15" t="s">
        <v>278</v>
      </c>
    </row>
    <row r="100" spans="1:6" x14ac:dyDescent="0.35">
      <c r="A100" s="8">
        <v>99</v>
      </c>
      <c r="B100" s="9" t="s">
        <v>279</v>
      </c>
      <c r="C100" s="9" t="s">
        <v>280</v>
      </c>
      <c r="D100" s="13">
        <f t="shared" si="2"/>
        <v>11</v>
      </c>
      <c r="E100" s="10">
        <v>500000</v>
      </c>
      <c r="F100" s="11" t="s">
        <v>281</v>
      </c>
    </row>
    <row r="101" spans="1:6" x14ac:dyDescent="0.35">
      <c r="A101" s="8">
        <v>100</v>
      </c>
      <c r="B101" s="13" t="s">
        <v>282</v>
      </c>
      <c r="C101" s="13" t="s">
        <v>283</v>
      </c>
      <c r="D101" s="13">
        <f t="shared" si="2"/>
        <v>1</v>
      </c>
      <c r="E101" s="14">
        <v>132</v>
      </c>
      <c r="F101" s="15" t="s">
        <v>284</v>
      </c>
    </row>
    <row r="102" spans="1:6" x14ac:dyDescent="0.35">
      <c r="A102" s="12">
        <v>101</v>
      </c>
      <c r="B102" s="9" t="s">
        <v>285</v>
      </c>
      <c r="C102" s="9" t="s">
        <v>286</v>
      </c>
      <c r="D102" s="13">
        <f t="shared" si="2"/>
        <v>25</v>
      </c>
      <c r="E102" s="10">
        <v>800000</v>
      </c>
      <c r="F102" s="11" t="s">
        <v>287</v>
      </c>
    </row>
    <row r="103" spans="1:6" x14ac:dyDescent="0.35">
      <c r="A103" s="8">
        <v>102</v>
      </c>
      <c r="B103" s="13" t="s">
        <v>288</v>
      </c>
      <c r="C103" s="13" t="s">
        <v>289</v>
      </c>
      <c r="D103" s="13">
        <f t="shared" si="2"/>
        <v>5</v>
      </c>
      <c r="E103" s="14">
        <v>119</v>
      </c>
      <c r="F103" s="15" t="s">
        <v>290</v>
      </c>
    </row>
    <row r="104" spans="1:6" x14ac:dyDescent="0.35">
      <c r="A104" s="8">
        <v>103</v>
      </c>
      <c r="B104" s="9" t="s">
        <v>291</v>
      </c>
      <c r="C104" s="9" t="s">
        <v>292</v>
      </c>
      <c r="D104" s="13">
        <f t="shared" si="2"/>
        <v>1</v>
      </c>
      <c r="E104" s="10">
        <v>103</v>
      </c>
      <c r="F104" s="11" t="s">
        <v>258</v>
      </c>
    </row>
    <row r="105" spans="1:6" x14ac:dyDescent="0.35">
      <c r="A105" s="12">
        <v>104</v>
      </c>
      <c r="B105" s="13" t="s">
        <v>293</v>
      </c>
      <c r="C105" s="13" t="s">
        <v>294</v>
      </c>
      <c r="D105" s="13">
        <f t="shared" si="2"/>
        <v>21</v>
      </c>
      <c r="E105" s="14">
        <v>300000</v>
      </c>
      <c r="F105" s="15" t="s">
        <v>295</v>
      </c>
    </row>
    <row r="106" spans="1:6" x14ac:dyDescent="0.35">
      <c r="A106" s="8">
        <v>105</v>
      </c>
      <c r="B106" s="9" t="s">
        <v>296</v>
      </c>
      <c r="C106" s="9" t="s">
        <v>297</v>
      </c>
      <c r="D106" s="13">
        <f t="shared" si="2"/>
        <v>109</v>
      </c>
      <c r="E106" s="10">
        <v>3000</v>
      </c>
      <c r="F106" s="11" t="s">
        <v>298</v>
      </c>
    </row>
    <row r="107" spans="1:6" x14ac:dyDescent="0.35">
      <c r="A107" s="8">
        <v>106</v>
      </c>
      <c r="B107" s="13" t="s">
        <v>299</v>
      </c>
      <c r="C107" s="13" t="s">
        <v>300</v>
      </c>
      <c r="D107" s="13">
        <f t="shared" si="2"/>
        <v>1</v>
      </c>
      <c r="E107" s="14">
        <v>4</v>
      </c>
      <c r="F107" s="15" t="s">
        <v>301</v>
      </c>
    </row>
    <row r="108" spans="1:6" x14ac:dyDescent="0.35">
      <c r="A108" s="12">
        <v>107</v>
      </c>
      <c r="B108" s="9" t="s">
        <v>302</v>
      </c>
      <c r="C108" s="9" t="s">
        <v>303</v>
      </c>
      <c r="D108" s="13">
        <f t="shared" si="2"/>
        <v>31</v>
      </c>
      <c r="E108" s="10">
        <v>80000</v>
      </c>
      <c r="F108" s="11" t="s">
        <v>304</v>
      </c>
    </row>
    <row r="109" spans="1:6" x14ac:dyDescent="0.35">
      <c r="A109" s="8">
        <v>108</v>
      </c>
      <c r="B109" s="13" t="s">
        <v>305</v>
      </c>
      <c r="C109" s="13" t="s">
        <v>306</v>
      </c>
      <c r="D109" s="13">
        <f t="shared" si="2"/>
        <v>2</v>
      </c>
      <c r="E109" s="14">
        <v>60000</v>
      </c>
      <c r="F109" s="15" t="s">
        <v>71</v>
      </c>
    </row>
    <row r="110" spans="1:6" x14ac:dyDescent="0.35">
      <c r="A110" s="8">
        <v>109</v>
      </c>
      <c r="B110" s="9" t="s">
        <v>307</v>
      </c>
      <c r="C110" s="9" t="s">
        <v>308</v>
      </c>
      <c r="D110" s="13">
        <f t="shared" si="2"/>
        <v>12</v>
      </c>
      <c r="E110" s="10">
        <v>500000</v>
      </c>
      <c r="F110" s="11" t="s">
        <v>212</v>
      </c>
    </row>
    <row r="111" spans="1:6" x14ac:dyDescent="0.35">
      <c r="A111" s="12">
        <v>110</v>
      </c>
      <c r="B111" s="13" t="s">
        <v>309</v>
      </c>
      <c r="C111" s="13" t="s">
        <v>310</v>
      </c>
      <c r="D111" s="13">
        <f t="shared" si="2"/>
        <v>1</v>
      </c>
      <c r="E111" s="14">
        <v>7130</v>
      </c>
      <c r="F111" s="15" t="s">
        <v>241</v>
      </c>
    </row>
    <row r="112" spans="1:6" x14ac:dyDescent="0.35">
      <c r="A112" s="8">
        <v>111</v>
      </c>
      <c r="B112" s="9" t="s">
        <v>311</v>
      </c>
      <c r="C112" s="9" t="s">
        <v>312</v>
      </c>
      <c r="D112" s="13">
        <f t="shared" si="2"/>
        <v>3</v>
      </c>
      <c r="E112" s="10">
        <v>100000000</v>
      </c>
      <c r="F112" s="11" t="s">
        <v>212</v>
      </c>
    </row>
    <row r="113" spans="1:6" x14ac:dyDescent="0.35">
      <c r="A113" s="8">
        <v>112</v>
      </c>
      <c r="B113" s="13" t="s">
        <v>313</v>
      </c>
      <c r="C113" s="13" t="s">
        <v>314</v>
      </c>
      <c r="D113" s="13">
        <f t="shared" si="2"/>
        <v>5</v>
      </c>
      <c r="E113" s="14">
        <v>3000000</v>
      </c>
      <c r="F113" s="15" t="s">
        <v>148</v>
      </c>
    </row>
    <row r="114" spans="1:6" x14ac:dyDescent="0.35">
      <c r="A114" s="12">
        <v>113</v>
      </c>
      <c r="B114" s="9" t="s">
        <v>315</v>
      </c>
      <c r="C114" s="9" t="s">
        <v>316</v>
      </c>
      <c r="D114" s="13">
        <f t="shared" si="2"/>
        <v>1</v>
      </c>
      <c r="E114" s="10">
        <v>30</v>
      </c>
      <c r="F114" s="11" t="s">
        <v>317</v>
      </c>
    </row>
    <row r="115" spans="1:6" x14ac:dyDescent="0.35">
      <c r="A115" s="8">
        <v>114</v>
      </c>
      <c r="B115" s="13" t="s">
        <v>318</v>
      </c>
      <c r="C115" s="13" t="s">
        <v>319</v>
      </c>
      <c r="D115" s="13">
        <f t="shared" si="2"/>
        <v>2</v>
      </c>
      <c r="E115" s="14">
        <v>500</v>
      </c>
      <c r="F115" s="15" t="s">
        <v>320</v>
      </c>
    </row>
    <row r="116" spans="1:6" x14ac:dyDescent="0.35">
      <c r="A116" s="8">
        <v>115</v>
      </c>
      <c r="B116" s="9" t="s">
        <v>321</v>
      </c>
      <c r="C116" s="9" t="s">
        <v>322</v>
      </c>
      <c r="D116" s="13">
        <f t="shared" si="2"/>
        <v>1</v>
      </c>
      <c r="E116" s="10">
        <v>538</v>
      </c>
      <c r="F116" s="11" t="s">
        <v>270</v>
      </c>
    </row>
    <row r="117" spans="1:6" x14ac:dyDescent="0.35">
      <c r="A117" s="12">
        <v>116</v>
      </c>
      <c r="B117" s="13" t="s">
        <v>323</v>
      </c>
      <c r="C117" s="13" t="s">
        <v>324</v>
      </c>
      <c r="D117" s="13">
        <f t="shared" si="2"/>
        <v>2</v>
      </c>
      <c r="E117" s="14">
        <v>100</v>
      </c>
      <c r="F117" s="15" t="s">
        <v>212</v>
      </c>
    </row>
    <row r="118" spans="1:6" x14ac:dyDescent="0.35">
      <c r="A118" s="8">
        <v>117</v>
      </c>
      <c r="B118" s="9" t="s">
        <v>325</v>
      </c>
      <c r="C118" s="9" t="s">
        <v>326</v>
      </c>
      <c r="D118" s="13">
        <f t="shared" si="2"/>
        <v>1</v>
      </c>
      <c r="E118" s="10">
        <v>43</v>
      </c>
      <c r="F118" s="11" t="s">
        <v>327</v>
      </c>
    </row>
    <row r="119" spans="1:6" x14ac:dyDescent="0.35">
      <c r="A119" s="8">
        <v>118</v>
      </c>
      <c r="B119" s="13" t="s">
        <v>328</v>
      </c>
      <c r="C119" s="13" t="s">
        <v>329</v>
      </c>
      <c r="D119" s="13">
        <f t="shared" si="2"/>
        <v>1</v>
      </c>
      <c r="E119" s="14">
        <v>1627</v>
      </c>
      <c r="F119" s="15" t="s">
        <v>330</v>
      </c>
    </row>
    <row r="120" spans="1:6" x14ac:dyDescent="0.35">
      <c r="A120" s="12">
        <v>119</v>
      </c>
      <c r="B120" s="9" t="s">
        <v>331</v>
      </c>
      <c r="C120" s="9" t="s">
        <v>332</v>
      </c>
      <c r="D120" s="13">
        <f t="shared" si="2"/>
        <v>1</v>
      </c>
      <c r="E120" s="10">
        <v>10277</v>
      </c>
      <c r="F120" s="11" t="s">
        <v>199</v>
      </c>
    </row>
    <row r="121" spans="1:6" x14ac:dyDescent="0.35">
      <c r="A121" s="8">
        <v>120</v>
      </c>
      <c r="B121" s="13" t="s">
        <v>333</v>
      </c>
      <c r="C121" s="13" t="s">
        <v>334</v>
      </c>
      <c r="D121" s="13">
        <f t="shared" si="2"/>
        <v>5</v>
      </c>
      <c r="E121" s="14">
        <v>9000</v>
      </c>
      <c r="F121" s="15" t="s">
        <v>241</v>
      </c>
    </row>
    <row r="122" spans="1:6" x14ac:dyDescent="0.35">
      <c r="A122" s="8">
        <v>121</v>
      </c>
      <c r="B122" s="9" t="s">
        <v>335</v>
      </c>
      <c r="C122" s="9" t="s">
        <v>336</v>
      </c>
      <c r="D122" s="13">
        <f t="shared" si="2"/>
        <v>2</v>
      </c>
      <c r="E122" s="10">
        <v>4000000</v>
      </c>
      <c r="F122" s="11" t="s">
        <v>212</v>
      </c>
    </row>
    <row r="123" spans="1:6" x14ac:dyDescent="0.35">
      <c r="A123" s="12">
        <v>122</v>
      </c>
      <c r="B123" s="13" t="s">
        <v>337</v>
      </c>
      <c r="C123" s="13" t="s">
        <v>338</v>
      </c>
      <c r="D123" s="13">
        <f t="shared" si="2"/>
        <v>3</v>
      </c>
      <c r="E123" s="14">
        <v>30000</v>
      </c>
      <c r="F123" s="15" t="s">
        <v>339</v>
      </c>
    </row>
    <row r="124" spans="1:6" x14ac:dyDescent="0.35">
      <c r="A124" s="8">
        <v>123</v>
      </c>
      <c r="B124" s="9" t="s">
        <v>340</v>
      </c>
      <c r="C124" s="9" t="s">
        <v>341</v>
      </c>
      <c r="D124" s="13">
        <f t="shared" si="2"/>
        <v>15</v>
      </c>
      <c r="E124" s="10">
        <v>36000</v>
      </c>
      <c r="F124" s="11" t="s">
        <v>212</v>
      </c>
    </row>
    <row r="125" spans="1:6" x14ac:dyDescent="0.35">
      <c r="A125" s="8">
        <v>124</v>
      </c>
      <c r="B125" s="13" t="s">
        <v>342</v>
      </c>
      <c r="C125" s="13" t="s">
        <v>343</v>
      </c>
      <c r="D125" s="13">
        <f t="shared" si="2"/>
        <v>3</v>
      </c>
      <c r="E125" s="14">
        <v>4000000</v>
      </c>
      <c r="F125" s="15" t="s">
        <v>212</v>
      </c>
    </row>
    <row r="126" spans="1:6" x14ac:dyDescent="0.35">
      <c r="A126" s="12">
        <v>125</v>
      </c>
      <c r="B126" s="9" t="s">
        <v>344</v>
      </c>
      <c r="C126" s="9" t="s">
        <v>345</v>
      </c>
      <c r="D126" s="13">
        <f t="shared" si="2"/>
        <v>1</v>
      </c>
      <c r="E126" s="10">
        <v>5</v>
      </c>
      <c r="F126" s="11" t="s">
        <v>346</v>
      </c>
    </row>
    <row r="127" spans="1:6" x14ac:dyDescent="0.35">
      <c r="A127" s="8">
        <v>126</v>
      </c>
      <c r="B127" s="13" t="s">
        <v>347</v>
      </c>
      <c r="C127" s="13" t="s">
        <v>348</v>
      </c>
      <c r="D127" s="13">
        <f t="shared" si="2"/>
        <v>1</v>
      </c>
      <c r="E127" s="14">
        <v>35</v>
      </c>
      <c r="F127" s="15" t="s">
        <v>349</v>
      </c>
    </row>
    <row r="128" spans="1:6" x14ac:dyDescent="0.35">
      <c r="A128" s="8">
        <v>127</v>
      </c>
      <c r="B128" s="9" t="s">
        <v>350</v>
      </c>
      <c r="C128" s="9" t="s">
        <v>351</v>
      </c>
      <c r="D128" s="13">
        <f t="shared" si="2"/>
        <v>2</v>
      </c>
      <c r="E128" s="10">
        <v>1027</v>
      </c>
      <c r="F128" s="11" t="s">
        <v>241</v>
      </c>
    </row>
    <row r="129" spans="1:6" x14ac:dyDescent="0.35">
      <c r="A129" s="12">
        <v>128</v>
      </c>
      <c r="B129" s="13" t="s">
        <v>352</v>
      </c>
      <c r="C129" s="13" t="s">
        <v>353</v>
      </c>
      <c r="D129" s="13">
        <f t="shared" si="2"/>
        <v>1</v>
      </c>
      <c r="E129" s="14">
        <v>24</v>
      </c>
      <c r="F129" s="15" t="s">
        <v>56</v>
      </c>
    </row>
    <row r="130" spans="1:6" x14ac:dyDescent="0.35">
      <c r="A130" s="8">
        <v>129</v>
      </c>
      <c r="B130" s="9" t="s">
        <v>354</v>
      </c>
      <c r="C130" s="9" t="s">
        <v>355</v>
      </c>
      <c r="D130" s="13">
        <f t="shared" si="2"/>
        <v>1</v>
      </c>
      <c r="E130" s="10">
        <v>15000</v>
      </c>
      <c r="F130" s="11" t="s">
        <v>356</v>
      </c>
    </row>
    <row r="131" spans="1:6" x14ac:dyDescent="0.35">
      <c r="A131" s="8">
        <v>130</v>
      </c>
      <c r="B131" s="13" t="s">
        <v>357</v>
      </c>
      <c r="C131" s="13" t="s">
        <v>358</v>
      </c>
      <c r="D131" s="13">
        <f t="shared" si="2"/>
        <v>3</v>
      </c>
      <c r="E131" s="14">
        <v>700000</v>
      </c>
      <c r="F131" s="15" t="s">
        <v>212</v>
      </c>
    </row>
    <row r="132" spans="1:6" x14ac:dyDescent="0.35">
      <c r="A132" s="12">
        <v>131</v>
      </c>
      <c r="B132" s="9" t="s">
        <v>359</v>
      </c>
      <c r="C132" s="9" t="s">
        <v>360</v>
      </c>
      <c r="D132" s="13">
        <f t="shared" si="2"/>
        <v>1</v>
      </c>
      <c r="E132" s="10">
        <v>105</v>
      </c>
      <c r="F132" s="11" t="s">
        <v>148</v>
      </c>
    </row>
    <row r="133" spans="1:6" x14ac:dyDescent="0.35">
      <c r="A133" s="8">
        <v>132</v>
      </c>
      <c r="B133" s="13" t="s">
        <v>361</v>
      </c>
      <c r="C133" s="13" t="s">
        <v>547</v>
      </c>
      <c r="D133" s="13">
        <f t="shared" si="2"/>
        <v>43</v>
      </c>
      <c r="E133" s="14">
        <v>42000000</v>
      </c>
      <c r="F133" s="15" t="s">
        <v>212</v>
      </c>
    </row>
    <row r="134" spans="1:6" x14ac:dyDescent="0.35">
      <c r="A134" s="8">
        <v>133</v>
      </c>
      <c r="B134" s="9" t="s">
        <v>362</v>
      </c>
      <c r="C134" s="9" t="s">
        <v>363</v>
      </c>
      <c r="D134" s="13">
        <f t="shared" si="2"/>
        <v>1</v>
      </c>
      <c r="E134" s="10">
        <v>64</v>
      </c>
      <c r="F134" s="11" t="s">
        <v>364</v>
      </c>
    </row>
    <row r="135" spans="1:6" x14ac:dyDescent="0.35">
      <c r="A135" s="12">
        <v>134</v>
      </c>
      <c r="B135" s="13" t="s">
        <v>365</v>
      </c>
      <c r="C135" s="13" t="s">
        <v>366</v>
      </c>
      <c r="D135" s="13">
        <f t="shared" si="2"/>
        <v>1</v>
      </c>
      <c r="E135" s="14">
        <v>5600</v>
      </c>
      <c r="F135" s="15" t="s">
        <v>367</v>
      </c>
    </row>
    <row r="136" spans="1:6" x14ac:dyDescent="0.35">
      <c r="A136" s="8">
        <v>135</v>
      </c>
      <c r="B136" s="9" t="s">
        <v>368</v>
      </c>
      <c r="C136" s="9" t="s">
        <v>369</v>
      </c>
      <c r="D136" s="13">
        <f t="shared" si="2"/>
        <v>1</v>
      </c>
      <c r="E136" s="10">
        <v>145</v>
      </c>
      <c r="F136" s="11" t="s">
        <v>370</v>
      </c>
    </row>
    <row r="137" spans="1:6" x14ac:dyDescent="0.35">
      <c r="A137" s="8">
        <v>136</v>
      </c>
      <c r="B137" s="13" t="s">
        <v>371</v>
      </c>
      <c r="C137" s="13" t="s">
        <v>372</v>
      </c>
      <c r="D137" s="13">
        <f t="shared" ref="D137:D200" si="3">RIGHT(C137,4)-LEFT(C137,4)+1</f>
        <v>1</v>
      </c>
      <c r="E137" s="14">
        <v>47</v>
      </c>
      <c r="F137" s="15" t="s">
        <v>373</v>
      </c>
    </row>
    <row r="138" spans="1:6" x14ac:dyDescent="0.35">
      <c r="A138" s="12">
        <v>137</v>
      </c>
      <c r="B138" s="9" t="s">
        <v>374</v>
      </c>
      <c r="C138" s="9" t="s">
        <v>375</v>
      </c>
      <c r="D138" s="13">
        <f t="shared" si="3"/>
        <v>1</v>
      </c>
      <c r="E138" s="10">
        <v>9432</v>
      </c>
      <c r="F138" s="11" t="s">
        <v>376</v>
      </c>
    </row>
    <row r="139" spans="1:6" x14ac:dyDescent="0.35">
      <c r="A139" s="8">
        <v>138</v>
      </c>
      <c r="B139" s="13" t="s">
        <v>377</v>
      </c>
      <c r="C139" s="13" t="s">
        <v>378</v>
      </c>
      <c r="D139" s="13">
        <f t="shared" si="3"/>
        <v>3</v>
      </c>
      <c r="E139" s="14">
        <v>8000</v>
      </c>
      <c r="F139" s="15" t="s">
        <v>379</v>
      </c>
    </row>
    <row r="140" spans="1:6" x14ac:dyDescent="0.35">
      <c r="A140" s="8">
        <v>139</v>
      </c>
      <c r="B140" s="9" t="s">
        <v>380</v>
      </c>
      <c r="C140" s="9" t="s">
        <v>381</v>
      </c>
      <c r="D140" s="13">
        <f t="shared" si="3"/>
        <v>1</v>
      </c>
      <c r="E140" s="10">
        <v>56</v>
      </c>
      <c r="F140" s="11" t="s">
        <v>356</v>
      </c>
    </row>
    <row r="141" spans="1:6" x14ac:dyDescent="0.35">
      <c r="A141" s="12">
        <v>140</v>
      </c>
      <c r="B141" s="13" t="s">
        <v>382</v>
      </c>
      <c r="C141" s="13" t="s">
        <v>383</v>
      </c>
      <c r="D141" s="13">
        <f t="shared" si="3"/>
        <v>6</v>
      </c>
      <c r="E141" s="14">
        <v>178</v>
      </c>
      <c r="F141" s="15" t="s">
        <v>384</v>
      </c>
    </row>
    <row r="142" spans="1:6" x14ac:dyDescent="0.35">
      <c r="A142" s="8">
        <v>141</v>
      </c>
      <c r="B142" s="9" t="s">
        <v>385</v>
      </c>
      <c r="C142" s="9" t="s">
        <v>386</v>
      </c>
      <c r="D142" s="13">
        <f t="shared" si="3"/>
        <v>1</v>
      </c>
      <c r="E142" s="10">
        <v>10000</v>
      </c>
      <c r="F142" s="11" t="s">
        <v>387</v>
      </c>
    </row>
    <row r="143" spans="1:6" x14ac:dyDescent="0.35">
      <c r="A143" s="8">
        <v>142</v>
      </c>
      <c r="B143" s="13" t="s">
        <v>388</v>
      </c>
      <c r="C143" s="13" t="s">
        <v>389</v>
      </c>
      <c r="D143" s="13">
        <f t="shared" si="3"/>
        <v>2</v>
      </c>
      <c r="E143" s="14">
        <v>105</v>
      </c>
      <c r="F143" s="15" t="s">
        <v>390</v>
      </c>
    </row>
    <row r="144" spans="1:6" x14ac:dyDescent="0.35">
      <c r="A144" s="12">
        <v>143</v>
      </c>
      <c r="B144" s="9" t="s">
        <v>391</v>
      </c>
      <c r="C144" s="9" t="s">
        <v>392</v>
      </c>
      <c r="D144" s="13">
        <f t="shared" si="3"/>
        <v>3</v>
      </c>
      <c r="E144" s="10">
        <v>128</v>
      </c>
      <c r="F144" s="11" t="s">
        <v>393</v>
      </c>
    </row>
    <row r="145" spans="1:6" x14ac:dyDescent="0.35">
      <c r="A145" s="8">
        <v>144</v>
      </c>
      <c r="B145" s="13" t="s">
        <v>394</v>
      </c>
      <c r="C145" s="13" t="s">
        <v>395</v>
      </c>
      <c r="D145" s="13">
        <f t="shared" si="3"/>
        <v>1</v>
      </c>
      <c r="E145" s="14">
        <v>40</v>
      </c>
      <c r="F145" s="15" t="s">
        <v>74</v>
      </c>
    </row>
    <row r="146" spans="1:6" x14ac:dyDescent="0.35">
      <c r="A146" s="8">
        <v>145</v>
      </c>
      <c r="B146" s="9" t="s">
        <v>396</v>
      </c>
      <c r="C146" s="9" t="s">
        <v>397</v>
      </c>
      <c r="D146" s="13">
        <f t="shared" si="3"/>
        <v>1</v>
      </c>
      <c r="E146" s="10">
        <v>400</v>
      </c>
      <c r="F146" s="11" t="s">
        <v>398</v>
      </c>
    </row>
    <row r="147" spans="1:6" x14ac:dyDescent="0.35">
      <c r="A147" s="12">
        <v>146</v>
      </c>
      <c r="B147" s="13" t="s">
        <v>399</v>
      </c>
      <c r="C147" s="13" t="s">
        <v>397</v>
      </c>
      <c r="D147" s="13">
        <f t="shared" si="3"/>
        <v>1</v>
      </c>
      <c r="E147" s="14">
        <v>139</v>
      </c>
      <c r="F147" s="15" t="s">
        <v>97</v>
      </c>
    </row>
    <row r="148" spans="1:6" x14ac:dyDescent="0.35">
      <c r="A148" s="8">
        <v>147</v>
      </c>
      <c r="B148" s="9" t="s">
        <v>400</v>
      </c>
      <c r="C148" s="9" t="s">
        <v>401</v>
      </c>
      <c r="D148" s="13">
        <f t="shared" si="3"/>
        <v>3</v>
      </c>
      <c r="E148" s="10">
        <v>774</v>
      </c>
      <c r="F148" s="11" t="s">
        <v>212</v>
      </c>
    </row>
    <row r="149" spans="1:6" x14ac:dyDescent="0.35">
      <c r="A149" s="8">
        <v>148</v>
      </c>
      <c r="B149" s="13" t="s">
        <v>402</v>
      </c>
      <c r="C149" s="13" t="s">
        <v>403</v>
      </c>
      <c r="D149" s="13">
        <f t="shared" si="3"/>
        <v>17</v>
      </c>
      <c r="E149" s="14">
        <v>455</v>
      </c>
      <c r="F149" s="15" t="s">
        <v>404</v>
      </c>
    </row>
    <row r="150" spans="1:6" x14ac:dyDescent="0.35">
      <c r="A150" s="12">
        <v>149</v>
      </c>
      <c r="B150" s="9" t="s">
        <v>405</v>
      </c>
      <c r="C150" s="9" t="s">
        <v>406</v>
      </c>
      <c r="D150" s="13">
        <f t="shared" si="3"/>
        <v>1</v>
      </c>
      <c r="E150" s="10">
        <v>658</v>
      </c>
      <c r="F150" s="11" t="s">
        <v>407</v>
      </c>
    </row>
    <row r="151" spans="1:6" x14ac:dyDescent="0.35">
      <c r="A151" s="8">
        <v>150</v>
      </c>
      <c r="B151" s="13" t="s">
        <v>408</v>
      </c>
      <c r="C151" s="13" t="s">
        <v>406</v>
      </c>
      <c r="D151" s="13">
        <f t="shared" si="3"/>
        <v>1</v>
      </c>
      <c r="E151" s="14">
        <v>7</v>
      </c>
      <c r="F151" s="15" t="s">
        <v>330</v>
      </c>
    </row>
    <row r="152" spans="1:6" x14ac:dyDescent="0.35">
      <c r="A152" s="8">
        <v>151</v>
      </c>
      <c r="B152" s="9" t="s">
        <v>409</v>
      </c>
      <c r="C152" s="9" t="s">
        <v>410</v>
      </c>
      <c r="D152" s="13">
        <f t="shared" si="3"/>
        <v>2</v>
      </c>
      <c r="E152" s="10">
        <v>227</v>
      </c>
      <c r="F152" s="11" t="s">
        <v>411</v>
      </c>
    </row>
    <row r="153" spans="1:6" x14ac:dyDescent="0.35">
      <c r="A153" s="12">
        <v>152</v>
      </c>
      <c r="B153" s="13" t="s">
        <v>412</v>
      </c>
      <c r="C153" s="13" t="s">
        <v>413</v>
      </c>
      <c r="D153" s="13">
        <f t="shared" si="3"/>
        <v>1</v>
      </c>
      <c r="E153" s="14">
        <v>27</v>
      </c>
      <c r="F153" s="15" t="s">
        <v>414</v>
      </c>
    </row>
    <row r="154" spans="1:6" x14ac:dyDescent="0.35">
      <c r="A154" s="8">
        <v>153</v>
      </c>
      <c r="B154" s="9" t="s">
        <v>415</v>
      </c>
      <c r="C154" s="9" t="s">
        <v>416</v>
      </c>
      <c r="D154" s="13">
        <f t="shared" si="3"/>
        <v>1</v>
      </c>
      <c r="E154" s="10">
        <v>1200</v>
      </c>
      <c r="F154" s="11" t="s">
        <v>417</v>
      </c>
    </row>
    <row r="155" spans="1:6" x14ac:dyDescent="0.35">
      <c r="A155" s="8">
        <v>154</v>
      </c>
      <c r="B155" s="13" t="s">
        <v>418</v>
      </c>
      <c r="C155" s="13" t="s">
        <v>416</v>
      </c>
      <c r="D155" s="13">
        <f t="shared" si="3"/>
        <v>1</v>
      </c>
      <c r="E155" s="14">
        <v>61</v>
      </c>
      <c r="F155" s="15" t="s">
        <v>419</v>
      </c>
    </row>
    <row r="156" spans="1:6" x14ac:dyDescent="0.35">
      <c r="A156" s="12">
        <v>155</v>
      </c>
      <c r="B156" s="9" t="s">
        <v>420</v>
      </c>
      <c r="C156" s="9" t="s">
        <v>416</v>
      </c>
      <c r="D156" s="13">
        <f t="shared" si="3"/>
        <v>1</v>
      </c>
      <c r="E156" s="10">
        <v>17</v>
      </c>
      <c r="F156" s="11" t="s">
        <v>356</v>
      </c>
    </row>
    <row r="157" spans="1:6" x14ac:dyDescent="0.35">
      <c r="A157" s="8">
        <v>156</v>
      </c>
      <c r="B157" s="13" t="s">
        <v>421</v>
      </c>
      <c r="C157" s="13" t="s">
        <v>416</v>
      </c>
      <c r="D157" s="13">
        <f t="shared" si="3"/>
        <v>1</v>
      </c>
      <c r="E157" s="14">
        <v>50</v>
      </c>
      <c r="F157" s="15" t="s">
        <v>356</v>
      </c>
    </row>
    <row r="158" spans="1:6" x14ac:dyDescent="0.35">
      <c r="A158" s="8">
        <v>157</v>
      </c>
      <c r="B158" s="9" t="s">
        <v>422</v>
      </c>
      <c r="C158" s="9" t="s">
        <v>416</v>
      </c>
      <c r="D158" s="13">
        <f t="shared" si="3"/>
        <v>1</v>
      </c>
      <c r="E158" s="10">
        <v>50</v>
      </c>
      <c r="F158" s="11" t="s">
        <v>423</v>
      </c>
    </row>
    <row r="159" spans="1:6" x14ac:dyDescent="0.35">
      <c r="A159" s="12">
        <v>158</v>
      </c>
      <c r="B159" s="13" t="s">
        <v>424</v>
      </c>
      <c r="C159" s="13" t="s">
        <v>416</v>
      </c>
      <c r="D159" s="13">
        <f t="shared" si="3"/>
        <v>1</v>
      </c>
      <c r="E159" s="14">
        <v>1000</v>
      </c>
      <c r="F159" s="15" t="s">
        <v>425</v>
      </c>
    </row>
    <row r="160" spans="1:6" x14ac:dyDescent="0.35">
      <c r="A160" s="8">
        <v>159</v>
      </c>
      <c r="B160" s="9" t="s">
        <v>426</v>
      </c>
      <c r="C160" s="9" t="s">
        <v>427</v>
      </c>
      <c r="D160" s="13">
        <f t="shared" si="3"/>
        <v>2</v>
      </c>
      <c r="E160" s="10">
        <v>394</v>
      </c>
      <c r="F160" s="11" t="s">
        <v>428</v>
      </c>
    </row>
    <row r="161" spans="1:6" x14ac:dyDescent="0.35">
      <c r="A161" s="8">
        <v>160</v>
      </c>
      <c r="B161" s="13" t="s">
        <v>429</v>
      </c>
      <c r="C161" s="13" t="s">
        <v>430</v>
      </c>
      <c r="D161" s="13">
        <f t="shared" si="3"/>
        <v>1</v>
      </c>
      <c r="E161" s="14">
        <v>187</v>
      </c>
      <c r="F161" s="15" t="s">
        <v>393</v>
      </c>
    </row>
    <row r="162" spans="1:6" x14ac:dyDescent="0.35">
      <c r="A162" s="12">
        <v>161</v>
      </c>
      <c r="B162" s="9" t="s">
        <v>431</v>
      </c>
      <c r="C162" s="9" t="s">
        <v>430</v>
      </c>
      <c r="D162" s="13">
        <f t="shared" si="3"/>
        <v>1</v>
      </c>
      <c r="E162" s="10">
        <v>684</v>
      </c>
      <c r="F162" s="11" t="s">
        <v>339</v>
      </c>
    </row>
    <row r="163" spans="1:6" x14ac:dyDescent="0.35">
      <c r="A163" s="8">
        <v>162</v>
      </c>
      <c r="B163" s="13" t="s">
        <v>432</v>
      </c>
      <c r="C163" s="13" t="s">
        <v>430</v>
      </c>
      <c r="D163" s="13">
        <f t="shared" si="3"/>
        <v>1</v>
      </c>
      <c r="E163" s="14">
        <v>10</v>
      </c>
      <c r="F163" s="15" t="s">
        <v>433</v>
      </c>
    </row>
    <row r="164" spans="1:6" x14ac:dyDescent="0.35">
      <c r="A164" s="8">
        <v>163</v>
      </c>
      <c r="B164" s="9" t="s">
        <v>434</v>
      </c>
      <c r="C164" s="9" t="s">
        <v>430</v>
      </c>
      <c r="D164" s="13">
        <f t="shared" si="3"/>
        <v>1</v>
      </c>
      <c r="E164" s="10">
        <v>183</v>
      </c>
      <c r="F164" s="11" t="s">
        <v>435</v>
      </c>
    </row>
    <row r="165" spans="1:6" x14ac:dyDescent="0.35">
      <c r="A165" s="12">
        <v>164</v>
      </c>
      <c r="B165" s="13" t="s">
        <v>436</v>
      </c>
      <c r="C165" s="13" t="s">
        <v>430</v>
      </c>
      <c r="D165" s="13">
        <f t="shared" si="3"/>
        <v>1</v>
      </c>
      <c r="E165" s="14">
        <v>37</v>
      </c>
      <c r="F165" s="15" t="s">
        <v>295</v>
      </c>
    </row>
    <row r="166" spans="1:6" x14ac:dyDescent="0.35">
      <c r="A166" s="8">
        <v>165</v>
      </c>
      <c r="B166" s="9" t="s">
        <v>437</v>
      </c>
      <c r="C166" s="9" t="s">
        <v>438</v>
      </c>
      <c r="D166" s="13">
        <f t="shared" si="3"/>
        <v>12</v>
      </c>
      <c r="E166" s="10">
        <v>95</v>
      </c>
      <c r="F166" s="11" t="s">
        <v>195</v>
      </c>
    </row>
    <row r="167" spans="1:6" x14ac:dyDescent="0.35">
      <c r="A167" s="8">
        <v>166</v>
      </c>
      <c r="B167" s="13" t="s">
        <v>439</v>
      </c>
      <c r="C167" s="13" t="s">
        <v>440</v>
      </c>
      <c r="D167" s="13">
        <f t="shared" si="3"/>
        <v>1</v>
      </c>
      <c r="E167" s="14">
        <v>67</v>
      </c>
      <c r="F167" s="15" t="s">
        <v>441</v>
      </c>
    </row>
    <row r="168" spans="1:6" x14ac:dyDescent="0.35">
      <c r="A168" s="12">
        <v>167</v>
      </c>
      <c r="B168" s="9" t="s">
        <v>442</v>
      </c>
      <c r="C168" s="9" t="s">
        <v>440</v>
      </c>
      <c r="D168" s="13">
        <f t="shared" si="3"/>
        <v>1</v>
      </c>
      <c r="E168" s="10">
        <v>407</v>
      </c>
      <c r="F168" s="11" t="s">
        <v>443</v>
      </c>
    </row>
    <row r="169" spans="1:6" x14ac:dyDescent="0.35">
      <c r="A169" s="8">
        <v>168</v>
      </c>
      <c r="B169" s="13" t="s">
        <v>444</v>
      </c>
      <c r="C169" s="13" t="s">
        <v>440</v>
      </c>
      <c r="D169" s="13">
        <f t="shared" si="3"/>
        <v>1</v>
      </c>
      <c r="E169" s="14">
        <v>123</v>
      </c>
      <c r="F169" s="15" t="s">
        <v>445</v>
      </c>
    </row>
    <row r="170" spans="1:6" x14ac:dyDescent="0.35">
      <c r="A170" s="8">
        <v>169</v>
      </c>
      <c r="B170" s="9" t="s">
        <v>446</v>
      </c>
      <c r="C170" s="9" t="s">
        <v>447</v>
      </c>
      <c r="D170" s="13">
        <f t="shared" si="3"/>
        <v>10</v>
      </c>
      <c r="E170" s="10">
        <v>3322</v>
      </c>
      <c r="F170" s="11" t="s">
        <v>71</v>
      </c>
    </row>
    <row r="171" spans="1:6" x14ac:dyDescent="0.35">
      <c r="A171" s="12">
        <v>170</v>
      </c>
      <c r="B171" s="13" t="s">
        <v>448</v>
      </c>
      <c r="C171" s="13" t="s">
        <v>440</v>
      </c>
      <c r="D171" s="13">
        <f t="shared" si="3"/>
        <v>1</v>
      </c>
      <c r="E171" s="14">
        <v>115</v>
      </c>
      <c r="F171" s="15" t="s">
        <v>356</v>
      </c>
    </row>
    <row r="172" spans="1:6" x14ac:dyDescent="0.35">
      <c r="A172" s="8">
        <v>171</v>
      </c>
      <c r="B172" s="9" t="s">
        <v>449</v>
      </c>
      <c r="C172" s="9" t="s">
        <v>440</v>
      </c>
      <c r="D172" s="13">
        <f t="shared" si="3"/>
        <v>1</v>
      </c>
      <c r="E172" s="10">
        <v>18</v>
      </c>
      <c r="F172" s="11" t="s">
        <v>450</v>
      </c>
    </row>
    <row r="173" spans="1:6" x14ac:dyDescent="0.35">
      <c r="A173" s="8">
        <v>172</v>
      </c>
      <c r="B173" s="13" t="s">
        <v>451</v>
      </c>
      <c r="C173" s="13" t="s">
        <v>440</v>
      </c>
      <c r="D173" s="13">
        <f t="shared" si="3"/>
        <v>1</v>
      </c>
      <c r="E173" s="14">
        <v>172</v>
      </c>
      <c r="F173" s="15" t="s">
        <v>425</v>
      </c>
    </row>
    <row r="174" spans="1:6" x14ac:dyDescent="0.35">
      <c r="A174" s="12">
        <v>173</v>
      </c>
      <c r="B174" s="9" t="s">
        <v>452</v>
      </c>
      <c r="C174" s="9" t="s">
        <v>453</v>
      </c>
      <c r="D174" s="13">
        <f t="shared" si="3"/>
        <v>2</v>
      </c>
      <c r="E174" s="10">
        <v>4293</v>
      </c>
      <c r="F174" s="11" t="s">
        <v>454</v>
      </c>
    </row>
    <row r="175" spans="1:6" x14ac:dyDescent="0.35">
      <c r="A175" s="8">
        <v>174</v>
      </c>
      <c r="B175" s="13" t="s">
        <v>455</v>
      </c>
      <c r="C175" s="13" t="s">
        <v>456</v>
      </c>
      <c r="D175" s="13">
        <f t="shared" si="3"/>
        <v>1</v>
      </c>
      <c r="E175" s="14">
        <v>18</v>
      </c>
      <c r="F175" s="15" t="s">
        <v>457</v>
      </c>
    </row>
    <row r="176" spans="1:6" x14ac:dyDescent="0.35">
      <c r="A176" s="8">
        <v>175</v>
      </c>
      <c r="B176" s="9" t="s">
        <v>458</v>
      </c>
      <c r="C176" s="9" t="s">
        <v>456</v>
      </c>
      <c r="D176" s="13">
        <f t="shared" si="3"/>
        <v>1</v>
      </c>
      <c r="E176" s="10">
        <v>49</v>
      </c>
      <c r="F176" s="11" t="s">
        <v>356</v>
      </c>
    </row>
    <row r="177" spans="1:6" x14ac:dyDescent="0.35">
      <c r="A177" s="12">
        <v>176</v>
      </c>
      <c r="B177" s="13" t="s">
        <v>459</v>
      </c>
      <c r="C177" s="13" t="s">
        <v>456</v>
      </c>
      <c r="D177" s="13">
        <f t="shared" si="3"/>
        <v>1</v>
      </c>
      <c r="E177" s="14">
        <v>1</v>
      </c>
      <c r="F177" s="15" t="s">
        <v>460</v>
      </c>
    </row>
    <row r="178" spans="1:6" x14ac:dyDescent="0.35">
      <c r="A178" s="8">
        <v>177</v>
      </c>
      <c r="B178" s="9" t="s">
        <v>461</v>
      </c>
      <c r="C178" s="9" t="s">
        <v>462</v>
      </c>
      <c r="D178" s="13">
        <f t="shared" si="3"/>
        <v>2</v>
      </c>
      <c r="E178" s="10">
        <v>1100</v>
      </c>
      <c r="F178" s="11" t="s">
        <v>387</v>
      </c>
    </row>
    <row r="179" spans="1:6" x14ac:dyDescent="0.35">
      <c r="A179" s="8">
        <v>178</v>
      </c>
      <c r="B179" s="13" t="s">
        <v>463</v>
      </c>
      <c r="C179" s="13" t="s">
        <v>462</v>
      </c>
      <c r="D179" s="13">
        <f t="shared" si="3"/>
        <v>2</v>
      </c>
      <c r="E179" s="14">
        <v>18449</v>
      </c>
      <c r="F179" s="15" t="s">
        <v>212</v>
      </c>
    </row>
    <row r="180" spans="1:6" x14ac:dyDescent="0.35">
      <c r="A180" s="12">
        <v>179</v>
      </c>
      <c r="B180" s="9" t="s">
        <v>463</v>
      </c>
      <c r="C180" s="9" t="s">
        <v>462</v>
      </c>
      <c r="D180" s="13">
        <f t="shared" si="3"/>
        <v>2</v>
      </c>
      <c r="E180" s="10">
        <v>284000</v>
      </c>
      <c r="F180" s="11" t="s">
        <v>212</v>
      </c>
    </row>
    <row r="181" spans="1:6" x14ac:dyDescent="0.35">
      <c r="A181" s="8">
        <v>180</v>
      </c>
      <c r="B181" s="13" t="s">
        <v>464</v>
      </c>
      <c r="C181" s="13" t="s">
        <v>465</v>
      </c>
      <c r="D181" s="13">
        <f t="shared" si="3"/>
        <v>10</v>
      </c>
      <c r="E181" s="14">
        <v>10075</v>
      </c>
      <c r="F181" s="15" t="s">
        <v>466</v>
      </c>
    </row>
    <row r="182" spans="1:6" x14ac:dyDescent="0.35">
      <c r="A182" s="8">
        <v>181</v>
      </c>
      <c r="B182" s="9" t="s">
        <v>467</v>
      </c>
      <c r="C182" s="9" t="s">
        <v>468</v>
      </c>
      <c r="D182" s="13">
        <f t="shared" si="3"/>
        <v>5</v>
      </c>
      <c r="E182" s="10">
        <v>4500</v>
      </c>
      <c r="F182" s="11" t="s">
        <v>393</v>
      </c>
    </row>
    <row r="183" spans="1:6" x14ac:dyDescent="0.35">
      <c r="A183" s="12">
        <v>182</v>
      </c>
      <c r="B183" s="13" t="s">
        <v>469</v>
      </c>
      <c r="C183" s="13" t="s">
        <v>470</v>
      </c>
      <c r="D183" s="13">
        <f t="shared" si="3"/>
        <v>1</v>
      </c>
      <c r="E183" s="14">
        <v>170</v>
      </c>
      <c r="F183" s="15" t="s">
        <v>471</v>
      </c>
    </row>
    <row r="184" spans="1:6" x14ac:dyDescent="0.35">
      <c r="A184" s="8">
        <v>183</v>
      </c>
      <c r="B184" s="9" t="s">
        <v>472</v>
      </c>
      <c r="C184" s="9" t="s">
        <v>470</v>
      </c>
      <c r="D184" s="13">
        <f t="shared" si="3"/>
        <v>1</v>
      </c>
      <c r="E184" s="10">
        <v>350</v>
      </c>
      <c r="F184" s="11" t="s">
        <v>423</v>
      </c>
    </row>
    <row r="185" spans="1:6" x14ac:dyDescent="0.35">
      <c r="A185" s="8">
        <v>184</v>
      </c>
      <c r="B185" s="13" t="s">
        <v>473</v>
      </c>
      <c r="C185" s="13" t="s">
        <v>474</v>
      </c>
      <c r="D185" s="13">
        <f t="shared" si="3"/>
        <v>1</v>
      </c>
      <c r="E185" s="14">
        <v>171</v>
      </c>
      <c r="F185" s="15" t="s">
        <v>475</v>
      </c>
    </row>
    <row r="186" spans="1:6" x14ac:dyDescent="0.35">
      <c r="A186" s="12">
        <v>185</v>
      </c>
      <c r="B186" s="9" t="s">
        <v>476</v>
      </c>
      <c r="C186" s="9" t="s">
        <v>477</v>
      </c>
      <c r="D186" s="13">
        <f t="shared" si="3"/>
        <v>10</v>
      </c>
      <c r="E186" s="10">
        <v>941</v>
      </c>
      <c r="F186" s="11" t="s">
        <v>212</v>
      </c>
    </row>
    <row r="187" spans="1:6" x14ac:dyDescent="0.35">
      <c r="A187" s="8">
        <v>186</v>
      </c>
      <c r="B187" s="13" t="s">
        <v>478</v>
      </c>
      <c r="C187" s="13" t="s">
        <v>479</v>
      </c>
      <c r="D187" s="13">
        <f t="shared" si="3"/>
        <v>1</v>
      </c>
      <c r="E187" s="14">
        <v>8</v>
      </c>
      <c r="F187" s="15" t="s">
        <v>414</v>
      </c>
    </row>
    <row r="188" spans="1:6" x14ac:dyDescent="0.35">
      <c r="A188" s="8">
        <v>187</v>
      </c>
      <c r="B188" s="9" t="s">
        <v>480</v>
      </c>
      <c r="C188" s="9" t="s">
        <v>481</v>
      </c>
      <c r="D188" s="13">
        <f t="shared" si="3"/>
        <v>2</v>
      </c>
      <c r="E188" s="10">
        <v>142</v>
      </c>
      <c r="F188" s="11" t="s">
        <v>471</v>
      </c>
    </row>
    <row r="189" spans="1:6" x14ac:dyDescent="0.35">
      <c r="A189" s="12">
        <v>188</v>
      </c>
      <c r="B189" s="13" t="s">
        <v>482</v>
      </c>
      <c r="C189" s="13" t="s">
        <v>483</v>
      </c>
      <c r="D189" s="13">
        <f t="shared" si="3"/>
        <v>4</v>
      </c>
      <c r="E189" s="14">
        <v>11323</v>
      </c>
      <c r="F189" s="15" t="s">
        <v>484</v>
      </c>
    </row>
    <row r="190" spans="1:6" x14ac:dyDescent="0.35">
      <c r="A190" s="8">
        <v>189</v>
      </c>
      <c r="B190" s="9" t="s">
        <v>485</v>
      </c>
      <c r="C190" s="9" t="s">
        <v>486</v>
      </c>
      <c r="D190" s="13">
        <f t="shared" si="3"/>
        <v>3</v>
      </c>
      <c r="E190" s="10">
        <v>183</v>
      </c>
      <c r="F190" s="11" t="s">
        <v>487</v>
      </c>
    </row>
    <row r="191" spans="1:6" x14ac:dyDescent="0.35">
      <c r="A191" s="8">
        <v>190</v>
      </c>
      <c r="B191" s="13" t="s">
        <v>488</v>
      </c>
      <c r="C191" s="13" t="s">
        <v>489</v>
      </c>
      <c r="D191" s="13">
        <f t="shared" si="3"/>
        <v>7</v>
      </c>
      <c r="E191" s="14">
        <v>616</v>
      </c>
      <c r="F191" s="15" t="s">
        <v>71</v>
      </c>
    </row>
    <row r="192" spans="1:6" x14ac:dyDescent="0.35">
      <c r="A192" s="12">
        <v>191</v>
      </c>
      <c r="B192" s="9" t="s">
        <v>490</v>
      </c>
      <c r="C192" s="9" t="s">
        <v>491</v>
      </c>
      <c r="D192" s="13">
        <f t="shared" si="3"/>
        <v>4</v>
      </c>
      <c r="E192" s="10">
        <v>292</v>
      </c>
      <c r="F192" s="11" t="s">
        <v>450</v>
      </c>
    </row>
    <row r="193" spans="1:6" x14ac:dyDescent="0.35">
      <c r="A193" s="8">
        <v>192</v>
      </c>
      <c r="B193" s="13" t="s">
        <v>492</v>
      </c>
      <c r="C193" s="13" t="s">
        <v>493</v>
      </c>
      <c r="D193" s="13">
        <f t="shared" si="3"/>
        <v>2</v>
      </c>
      <c r="E193" s="14">
        <v>12</v>
      </c>
      <c r="F193" s="15" t="s">
        <v>494</v>
      </c>
    </row>
    <row r="194" spans="1:6" x14ac:dyDescent="0.35">
      <c r="A194" s="8">
        <v>193</v>
      </c>
      <c r="B194" s="9" t="s">
        <v>495</v>
      </c>
      <c r="C194" s="9" t="s">
        <v>493</v>
      </c>
      <c r="D194" s="13">
        <f t="shared" si="3"/>
        <v>2</v>
      </c>
      <c r="E194" s="10">
        <v>36</v>
      </c>
      <c r="F194" s="11" t="s">
        <v>356</v>
      </c>
    </row>
    <row r="195" spans="1:6" x14ac:dyDescent="0.35">
      <c r="A195" s="12">
        <v>194</v>
      </c>
      <c r="B195" s="13" t="s">
        <v>496</v>
      </c>
      <c r="C195" s="13" t="s">
        <v>497</v>
      </c>
      <c r="D195" s="13">
        <f t="shared" si="3"/>
        <v>1</v>
      </c>
      <c r="E195" s="14">
        <v>2035</v>
      </c>
      <c r="F195" s="15" t="s">
        <v>356</v>
      </c>
    </row>
    <row r="196" spans="1:6" x14ac:dyDescent="0.35">
      <c r="A196" s="8">
        <v>195</v>
      </c>
      <c r="B196" s="9" t="s">
        <v>498</v>
      </c>
      <c r="C196" s="9" t="s">
        <v>499</v>
      </c>
      <c r="D196" s="13">
        <f t="shared" si="3"/>
        <v>2</v>
      </c>
      <c r="E196" s="10">
        <v>53</v>
      </c>
      <c r="F196" s="11" t="s">
        <v>212</v>
      </c>
    </row>
    <row r="197" spans="1:6" x14ac:dyDescent="0.35">
      <c r="A197" s="8">
        <v>196</v>
      </c>
      <c r="B197" s="13" t="s">
        <v>500</v>
      </c>
      <c r="C197" s="13" t="s">
        <v>501</v>
      </c>
      <c r="D197" s="13">
        <f t="shared" si="3"/>
        <v>1</v>
      </c>
      <c r="E197" s="14">
        <v>498</v>
      </c>
      <c r="F197" s="15" t="s">
        <v>502</v>
      </c>
    </row>
    <row r="198" spans="1:6" x14ac:dyDescent="0.35">
      <c r="A198" s="12">
        <v>197</v>
      </c>
      <c r="B198" s="9" t="s">
        <v>503</v>
      </c>
      <c r="C198" s="9" t="s">
        <v>504</v>
      </c>
      <c r="D198" s="13">
        <f t="shared" si="3"/>
        <v>7</v>
      </c>
      <c r="E198" s="10">
        <v>3981</v>
      </c>
      <c r="F198" s="11" t="s">
        <v>505</v>
      </c>
    </row>
    <row r="199" spans="1:6" x14ac:dyDescent="0.35">
      <c r="A199" s="8">
        <v>198</v>
      </c>
      <c r="B199" s="13" t="s">
        <v>506</v>
      </c>
      <c r="C199" s="13" t="s">
        <v>507</v>
      </c>
      <c r="D199" s="13">
        <f t="shared" si="3"/>
        <v>1</v>
      </c>
      <c r="E199" s="14">
        <v>69</v>
      </c>
      <c r="F199" s="15" t="s">
        <v>508</v>
      </c>
    </row>
    <row r="200" spans="1:6" x14ac:dyDescent="0.35">
      <c r="A200" s="8">
        <v>199</v>
      </c>
      <c r="B200" s="9" t="s">
        <v>509</v>
      </c>
      <c r="C200" s="9" t="s">
        <v>507</v>
      </c>
      <c r="D200" s="13">
        <f t="shared" si="3"/>
        <v>1</v>
      </c>
      <c r="E200" s="10">
        <v>1317</v>
      </c>
      <c r="F200" s="11" t="s">
        <v>356</v>
      </c>
    </row>
    <row r="201" spans="1:6" x14ac:dyDescent="0.35">
      <c r="A201" s="12">
        <v>200</v>
      </c>
      <c r="B201" s="13" t="s">
        <v>510</v>
      </c>
      <c r="C201" s="13" t="s">
        <v>507</v>
      </c>
      <c r="D201" s="13">
        <f t="shared" ref="D201:D219" si="4">RIGHT(C201,4)-LEFT(C201,4)+1</f>
        <v>1</v>
      </c>
      <c r="E201" s="14">
        <v>440</v>
      </c>
      <c r="F201" s="15" t="s">
        <v>511</v>
      </c>
    </row>
    <row r="202" spans="1:6" x14ac:dyDescent="0.35">
      <c r="A202" s="8">
        <v>201</v>
      </c>
      <c r="B202" s="9" t="s">
        <v>512</v>
      </c>
      <c r="C202" s="9" t="s">
        <v>513</v>
      </c>
      <c r="D202" s="13">
        <f t="shared" si="4"/>
        <v>1</v>
      </c>
      <c r="E202" s="10">
        <v>17</v>
      </c>
      <c r="F202" s="11" t="s">
        <v>356</v>
      </c>
    </row>
    <row r="203" spans="1:6" x14ac:dyDescent="0.35">
      <c r="A203" s="8">
        <v>202</v>
      </c>
      <c r="B203" s="13" t="s">
        <v>514</v>
      </c>
      <c r="C203" s="13" t="s">
        <v>515</v>
      </c>
      <c r="D203" s="13">
        <f t="shared" si="4"/>
        <v>3</v>
      </c>
      <c r="E203" s="14">
        <v>2280</v>
      </c>
      <c r="F203" s="15" t="s">
        <v>516</v>
      </c>
    </row>
    <row r="204" spans="1:6" x14ac:dyDescent="0.35">
      <c r="A204" s="12">
        <v>203</v>
      </c>
      <c r="B204" s="9" t="s">
        <v>517</v>
      </c>
      <c r="C204" s="9" t="s">
        <v>518</v>
      </c>
      <c r="D204" s="13">
        <f t="shared" si="4"/>
        <v>2</v>
      </c>
      <c r="E204" s="10">
        <v>31</v>
      </c>
      <c r="F204" s="11" t="s">
        <v>56</v>
      </c>
    </row>
    <row r="205" spans="1:6" x14ac:dyDescent="0.35">
      <c r="A205" s="8">
        <v>204</v>
      </c>
      <c r="B205" s="13" t="s">
        <v>519</v>
      </c>
      <c r="C205" s="13" t="s">
        <v>520</v>
      </c>
      <c r="D205" s="13">
        <f t="shared" si="4"/>
        <v>2</v>
      </c>
      <c r="E205" s="14">
        <v>7018</v>
      </c>
      <c r="F205" s="15" t="s">
        <v>393</v>
      </c>
    </row>
    <row r="206" spans="1:6" x14ac:dyDescent="0.35">
      <c r="A206" s="8">
        <v>205</v>
      </c>
      <c r="B206" s="9" t="s">
        <v>521</v>
      </c>
      <c r="C206" s="9" t="s">
        <v>520</v>
      </c>
      <c r="D206" s="13">
        <f t="shared" si="4"/>
        <v>2</v>
      </c>
      <c r="E206" s="10">
        <v>2</v>
      </c>
      <c r="F206" s="11" t="s">
        <v>522</v>
      </c>
    </row>
    <row r="207" spans="1:6" x14ac:dyDescent="0.35">
      <c r="A207" s="12">
        <v>206</v>
      </c>
      <c r="B207" s="13" t="s">
        <v>523</v>
      </c>
      <c r="C207" s="13" t="s">
        <v>524</v>
      </c>
      <c r="D207" s="13">
        <f t="shared" si="4"/>
        <v>1</v>
      </c>
      <c r="E207" s="14">
        <v>415</v>
      </c>
      <c r="F207" s="15" t="s">
        <v>425</v>
      </c>
    </row>
    <row r="208" spans="1:6" x14ac:dyDescent="0.35">
      <c r="A208" s="8">
        <v>207</v>
      </c>
      <c r="B208" s="9" t="s">
        <v>525</v>
      </c>
      <c r="C208" s="9" t="s">
        <v>524</v>
      </c>
      <c r="D208" s="13">
        <f t="shared" si="4"/>
        <v>1</v>
      </c>
      <c r="E208" s="10">
        <v>15</v>
      </c>
      <c r="F208" s="11" t="s">
        <v>526</v>
      </c>
    </row>
    <row r="209" spans="1:6" x14ac:dyDescent="0.35">
      <c r="A209" s="8">
        <v>208</v>
      </c>
      <c r="B209" s="13" t="s">
        <v>527</v>
      </c>
      <c r="C209" s="13" t="s">
        <v>524</v>
      </c>
      <c r="D209" s="13">
        <f t="shared" si="4"/>
        <v>1</v>
      </c>
      <c r="E209" s="14">
        <v>83</v>
      </c>
      <c r="F209" s="15" t="s">
        <v>528</v>
      </c>
    </row>
    <row r="210" spans="1:6" x14ac:dyDescent="0.35">
      <c r="A210" s="12">
        <v>209</v>
      </c>
      <c r="B210" s="9" t="s">
        <v>529</v>
      </c>
      <c r="C210" s="9" t="s">
        <v>520</v>
      </c>
      <c r="D210" s="13">
        <f t="shared" si="4"/>
        <v>2</v>
      </c>
      <c r="E210" s="10">
        <v>3930</v>
      </c>
      <c r="F210" s="11" t="s">
        <v>530</v>
      </c>
    </row>
    <row r="211" spans="1:6" x14ac:dyDescent="0.35">
      <c r="A211" s="8">
        <v>210</v>
      </c>
      <c r="B211" s="13" t="s">
        <v>531</v>
      </c>
      <c r="C211" s="13" t="s">
        <v>532</v>
      </c>
      <c r="D211" s="13">
        <f t="shared" si="4"/>
        <v>3</v>
      </c>
      <c r="E211" s="14">
        <v>247</v>
      </c>
      <c r="F211" s="15" t="s">
        <v>398</v>
      </c>
    </row>
    <row r="212" spans="1:6" x14ac:dyDescent="0.35">
      <c r="A212" s="8">
        <v>211</v>
      </c>
      <c r="B212" s="9" t="s">
        <v>533</v>
      </c>
      <c r="C212" s="9" t="s">
        <v>548</v>
      </c>
      <c r="D212" s="13">
        <f t="shared" si="4"/>
        <v>5</v>
      </c>
      <c r="E212" s="10">
        <v>29300000</v>
      </c>
      <c r="F212" s="11" t="s">
        <v>212</v>
      </c>
    </row>
    <row r="213" spans="1:6" x14ac:dyDescent="0.35">
      <c r="A213" s="12">
        <v>212</v>
      </c>
      <c r="B213" s="13" t="s">
        <v>534</v>
      </c>
      <c r="C213" s="13" t="s">
        <v>535</v>
      </c>
      <c r="D213" s="13">
        <f t="shared" si="4"/>
        <v>1</v>
      </c>
      <c r="E213" s="14">
        <v>55</v>
      </c>
      <c r="F213" s="15" t="s">
        <v>393</v>
      </c>
    </row>
    <row r="214" spans="1:6" x14ac:dyDescent="0.35">
      <c r="A214" s="8">
        <v>213</v>
      </c>
      <c r="B214" s="9" t="s">
        <v>536</v>
      </c>
      <c r="C214" s="9" t="s">
        <v>535</v>
      </c>
      <c r="D214" s="13">
        <f t="shared" si="4"/>
        <v>1</v>
      </c>
      <c r="E214" s="10">
        <v>32</v>
      </c>
      <c r="F214" s="11" t="s">
        <v>414</v>
      </c>
    </row>
    <row r="215" spans="1:6" x14ac:dyDescent="0.35">
      <c r="A215" s="8">
        <v>214</v>
      </c>
      <c r="B215" s="13" t="s">
        <v>537</v>
      </c>
      <c r="C215" s="13" t="s">
        <v>535</v>
      </c>
      <c r="D215" s="13">
        <f t="shared" si="4"/>
        <v>1</v>
      </c>
      <c r="E215" s="14">
        <v>296</v>
      </c>
      <c r="F215" s="15" t="s">
        <v>398</v>
      </c>
    </row>
    <row r="216" spans="1:6" x14ac:dyDescent="0.35">
      <c r="A216" s="12">
        <v>215</v>
      </c>
      <c r="B216" s="9" t="s">
        <v>538</v>
      </c>
      <c r="C216" s="9" t="s">
        <v>539</v>
      </c>
      <c r="D216" s="13">
        <f t="shared" si="4"/>
        <v>2</v>
      </c>
      <c r="E216" s="10">
        <v>4332</v>
      </c>
      <c r="F216" s="11" t="s">
        <v>356</v>
      </c>
    </row>
    <row r="217" spans="1:6" x14ac:dyDescent="0.35">
      <c r="A217" s="8">
        <v>216</v>
      </c>
      <c r="B217" s="13" t="s">
        <v>540</v>
      </c>
      <c r="C217" s="13" t="s">
        <v>541</v>
      </c>
      <c r="D217" s="13">
        <f t="shared" si="4"/>
        <v>2</v>
      </c>
      <c r="E217" s="14">
        <v>18</v>
      </c>
      <c r="F217" s="15" t="s">
        <v>212</v>
      </c>
    </row>
    <row r="218" spans="1:6" x14ac:dyDescent="0.35">
      <c r="A218" s="8">
        <v>217</v>
      </c>
      <c r="B218" s="9" t="s">
        <v>542</v>
      </c>
      <c r="C218" s="9" t="s">
        <v>544</v>
      </c>
      <c r="D218" s="13">
        <f t="shared" si="4"/>
        <v>2</v>
      </c>
      <c r="E218" s="10">
        <v>280</v>
      </c>
      <c r="F218" s="11" t="s">
        <v>212</v>
      </c>
    </row>
    <row r="219" spans="1:6" x14ac:dyDescent="0.35">
      <c r="A219" s="12">
        <v>218</v>
      </c>
      <c r="B219" s="1" t="s">
        <v>543</v>
      </c>
      <c r="C219" s="1" t="s">
        <v>544</v>
      </c>
      <c r="D219" s="13">
        <f t="shared" si="4"/>
        <v>2</v>
      </c>
      <c r="E219" s="16">
        <v>77</v>
      </c>
      <c r="F219" s="2" t="s">
        <v>295</v>
      </c>
    </row>
  </sheetData>
  <autoFilter ref="A1:F219" xr:uid="{BC324098-F769-4CE3-BDD8-BD06A0969C90}">
    <sortState xmlns:xlrd2="http://schemas.microsoft.com/office/spreadsheetml/2017/richdata2" ref="A2:F219">
      <sortCondition ref="A1:A219"/>
    </sortState>
  </autoFilter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4271F1-20E2-4465-A47F-4AA0816C02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Cronical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Fikri Irsyad Muhammad</dc:creator>
  <cp:lastModifiedBy>Fikri Irsyad Muhammad</cp:lastModifiedBy>
  <dcterms:created xsi:type="dcterms:W3CDTF">2025-05-10T04:12:38Z</dcterms:created>
  <dcterms:modified xsi:type="dcterms:W3CDTF">2025-05-10T13:53:22Z</dcterms:modified>
</cp:coreProperties>
</file>